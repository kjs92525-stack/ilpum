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8964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Administrator\Desktop\"/>
    </mc:Choice>
  </mc:AlternateContent>
  <x:bookViews>
    <x:workbookView xWindow="0" yWindow="0" windowWidth="15105" windowHeight="6930" tabRatio="851"/>
  </x:bookViews>
  <x:sheets>
    <x:sheet name="Sheet1" sheetId="1" r:id="rId4"/>
  </x:sheets>
  <x:definedNames>
    <x:definedName name="_xlnm.Print_Area" localSheetId="0">Sheet1!$A$1:$O$94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<x:sst xmlns:r="http://schemas.openxmlformats.org/officeDocument/2006/relationships" xmlns:c="http://schemas.openxmlformats.org/drawingml/2006/chart" xmlns:x="http://schemas.openxmlformats.org/spreadsheetml/2006/main" count="176" uniqueCount="153">
  <x:si>
    <x:t>사업자 계좌번호 : 우리은행 1005 - 804 - 734854 (예금주 : 한진주방)</x:t>
  </x:si>
  <x:si>
    <x:t>찜기</x:t>
  </x:si>
  <x:si>
    <x:t>자</x:t>
  </x:si>
  <x:si>
    <x:t>일</x:t>
  </x:si>
  <x:si>
    <x:t>6QT</x:t>
  </x:si>
  <x:si>
    <x:t>공</x:t>
  </x:si>
  <x:si>
    <x:t>NO</x:t>
  </x:si>
  <x:si>
    <x:t>원정</x:t>
  </x:si>
  <x:si>
    <x:t>월</x:t>
  </x:si>
  <x:si>
    <x:t>급</x:t>
  </x:si>
  <x:si>
    <x:t>비 고</x:t>
  </x:si>
  <x:si>
    <x:t>민짜</x:t>
  </x:si>
  <x:si>
    <x:t>귀하</x:t>
  </x:si>
  <x:si>
    <x:t>대</x:t>
  </x:si>
  <x:si>
    <x:t>50인</x:t>
  </x:si>
  <x:si>
    <x:t>스프링</x:t>
  </x:si>
  <x:si>
    <x:t>75용</x:t>
  </x:si>
  <x:si>
    <x:t>6호</x:t>
  </x:si>
  <x:si>
    <x:t>특대</x:t>
  </x:si>
  <x:si>
    <x:t>10호</x:t>
  </x:si>
  <x:si>
    <x:t>3x6</x:t>
  </x:si>
  <x:si>
    <x:t>8호</x:t>
  </x:si>
  <x:si>
    <x:t>소</x:t>
  </x:si>
  <x:si>
    <x:t>1L</x:t>
  </x:si>
  <x:si>
    <x:t>운반구</x:t>
  </x:si>
  <x:si>
    <x:t>발매트</x:t>
  </x:si>
  <x:si>
    <x:t>75L</x:t>
  </x:si>
  <x:si>
    <x:t>1호</x:t>
  </x:si>
  <x:si>
    <x:t>P자루</x:t>
  </x:si>
  <x:si>
    <x:t>1/2</x:t>
  </x:si>
  <x:si>
    <x:t>1/4</x:t>
  </x:si>
  <x:si>
    <x:t>검정</x:t>
  </x:si>
  <x:si>
    <x:t>붓</x:t>
  </x:si>
  <x:si>
    <x:t>7호</x:t>
  </x:si>
  <x:si>
    <x:t>왕대</x:t>
  </x:si>
  <x:si>
    <x:t>21</x:t>
  </x:si>
  <x:si>
    <x:t>2호</x:t>
  </x:si>
  <x:si>
    <x:t>분무기</x:t>
  </x:si>
  <x:si>
    <x:t>멜라민 사각 접시</x:t>
  </x:si>
  <x:si>
    <x:t>1. 대금 결제는 납품과 동시에 완불하여야 하며, 결제 불이행시 납품 물품의 소유는 한진주방에 있습니다.</x:t>
  </x:si>
  <x:si>
    <x:t>한식, 중식, 일식, 냉장고, 가스렌지, 씽크대, 제작시공</x:t>
  </x:si>
  <x:si>
    <x:t>5 0 4 - 0 5 - 1 9 6 8 4</x:t>
  </x:si>
  <x:si>
    <x:t>2. 주문생산(제작, 해외구매포함)품은 취소, 반품이 불가합니다.   (                 ) (인)</x:t>
  </x:si>
  <x:si>
    <x:t xml:space="preserve">일  품  집 </x:t>
  </x:si>
  <x:si>
    <x:t xml:space="preserve"> ) + 세액 (</x:t>
  </x:si>
  <x:si>
    <x:t>업소용 수저 세트</x:t>
  </x:si>
  <x:si>
    <x:t xml:space="preserve">합 계 금 액 </x:t>
  </x:si>
  <x:si>
    <x:t>) }(VAT포함)</x:t>
  </x:si>
  <x:si>
    <x:t>423-5526</x:t>
  </x:si>
  <x:si>
    <x:t>잔     액 :</x:t>
  </x:si>
  <x:si>
    <x:t>품       명</x:t>
  </x:si>
  <x:si>
    <x:t>상      호</x:t>
  </x:si>
  <x:si>
    <x:t>업소용 P냅킨케이스</x:t>
  </x:si>
  <x:si>
    <x:t>업소용 주방 소스병</x:t>
  </x:si>
  <x:si>
    <x:t>V자 가로 검정</x:t>
  </x:si>
  <x:si>
    <x:t>뉴깊은사각소쿠리</x:t>
  </x:si>
  <x:si>
    <x:t>업소용 스텐국자 소</x:t>
  </x:si>
  <x:si>
    <x:t>업소용 P수저통</x:t>
  </x:si>
  <x:si>
    <x:t>유진경질튀김팬55</x:t>
  </x:si>
  <x:si>
    <x:t>6" 1/4 (조)</x:t>
  </x:si>
  <x:si>
    <x:t>업소용 스텐 냉면기</x:t>
  </x:si>
  <x:si>
    <x:t>6" 1/4 下</x:t>
  </x:si>
  <x:si>
    <x:t>웨건 주방 카트</x:t>
  </x:si>
  <x:si>
    <x:t>6" 1/2 (조)</x:t>
  </x:si>
  <x:si>
    <x:t>논슬립 사각 쟁반</x:t>
  </x:si>
  <x:si>
    <x:r>
      <x:t xml:space="preserve">원 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>{</x:t>
    </x:r>
    <x:r>
      <x:rPr>
        <x:rFont val="맑은 고딕"/>
        <x:sz val="12"/>
        <x:color rgb="ff000000"/>
        <x:b val="1"/>
      </x:rPr>
      <x:t>공급가액  (</x:t>
    </x:r>
  </x:si>
  <x:si>
    <x:t>대구 북구 칠성1가 150-3</x:t>
  </x:si>
  <x:si>
    <x:t>계       산       서</x:t>
  </x:si>
  <x:si>
    <x:t>린나이 야끼바</x:t>
  </x:si>
  <x:si>
    <x:t>카스저울</x:t>
  </x:si>
  <x:si>
    <x:t>bmp 2.5</x:t>
  </x:si>
  <x:si>
    <x:t>세칸 종지</x:t>
  </x:si>
  <x:si>
    <x:t>대걸레 고강도</x:t>
  </x:si>
  <x:si>
    <x:t>블랙 / 6L</x:t>
  </x:si>
  <x:si>
    <x:t>3칸 앞접시</x:t>
  </x:si>
  <x:si>
    <x:t xml:space="preserve">식당 예약석 </x:t>
  </x:si>
  <x:si>
    <x:t>검정 휴지통</x:t>
  </x:si>
  <x:si>
    <x:t>악어 스텐집게</x:t>
  </x:si>
  <x:si>
    <x:t>사각 광주리</x:t>
  </x:si>
  <x:si>
    <x:t>상추 그릇</x:t>
  </x:si>
  <x:si>
    <x:t>전기 랩포장기</x:t>
  </x:si>
  <x:si>
    <x:t>PC 물병</x:t>
  </x:si>
  <x:si>
    <x:t>위생도마</x:t>
  </x:si>
  <x:si>
    <x:t>PC 드레인</x:t>
  </x:si>
  <x:si>
    <x:t>경질 국솥</x:t>
  </x:si>
  <x:si>
    <x:t>싹싹이 주걱</x:t>
  </x:si>
  <x:si>
    <x:t>목 칼꽂이</x:t>
  </x:si>
  <x:si>
    <x:t>알뜰주걱</x:t>
  </x:si>
  <x:si>
    <x:t>S/T 받드</x:t>
  </x:si>
  <x:si>
    <x:t>양념단지</x:t>
  </x:si>
  <x:si>
    <x:t>13QT</x:t>
  </x:si>
  <x:si>
    <x:t>소스종지</x:t>
  </x:si>
  <x:si>
    <x:t>사각 휴지통</x:t>
  </x:si>
  <x:si>
    <x:t>20QT</x:t>
  </x:si>
  <x:si>
    <x:t>코팅 웍</x:t>
  </x:si>
  <x:si>
    <x:t>철 브러쉬</x:t>
  </x:si>
  <x:si>
    <x:t>일반 식도</x:t>
  </x:si>
  <x:si>
    <x:t>S/T 믹싱볼</x:t>
  </x:si>
  <x:si>
    <x:t>사업장주소</x:t>
  </x:si>
  <x:si>
    <x:t>300ml</x:t>
  </x:si>
  <x:si>
    <x:t>마포걸래</x:t>
  </x:si>
  <x:si>
    <x:t>규   격</x:t>
  </x:si>
  <x:si>
    <x:t>독일 야스리</x:t>
  </x:si>
  <x:si>
    <x:t>500ml</x:t>
  </x:si>
  <x:si>
    <x:t>50cm</x:t>
  </x:si>
  <x:si>
    <x:t>원형 소쿠리</x:t>
  </x:si>
  <x:si>
    <x:t>전 화 번 호</x:t>
  </x:si>
  <x:si>
    <x:t>한 진 주 방</x:t>
  </x:si>
  <x:si>
    <x:t>단  가</x:t>
  </x:si>
  <x:si>
    <x:t>막거리잔 일반</x:t>
  </x:si>
  <x:si>
    <x:t>장어 포장접시</x:t>
  </x:si>
  <x:si>
    <x:t>3호 (조)</x:t>
  </x:si>
  <x:si>
    <x:t>30cm</x:t>
  </x:si>
  <x:si>
    <x:t>공 급 가</x:t>
  </x:si>
  <x:si>
    <x:t>수   량</x:t>
  </x:si>
  <x:si>
    <x:t>등 록 번 호</x:t>
  </x:si>
  <x:si>
    <x:t>원소쿠리</x:t>
  </x:si>
  <x:si>
    <x:t>혜성 뚝배기</x:t>
  </x:si>
  <x:si>
    <x:t>국자 주방용</x:t>
  </x:si>
  <x:si>
    <x:t xml:space="preserve">      </x:t>
  </x:si>
  <x:si>
    <x:t>오복가위</x:t>
  </x:si>
  <x:si>
    <x:t>한진주방</x:t>
  </x:si>
  <x:si>
    <x:t xml:space="preserve"> 서 종 수</x:t>
  </x:si>
  <x:si>
    <x:t>세  액</x:t>
  </x:si>
  <x:si>
    <x:t>총 금 액 :</x:t>
  </x:si>
  <x:si>
    <x:t>계 약 금 :</x:t>
  </x:si>
  <x:si>
    <x:t xml:space="preserve">성 명 </x:t>
  </x:si>
  <x:si>
    <x:t>가스 압력밥솥</x:t>
  </x:si>
  <x:si>
    <x:t>3절 찬기</x:t>
  </x:si>
  <x:si>
    <x:t>PP 짤순이</x:t>
  </x:si>
  <x:si>
    <x:t>장어탕 솥</x:t>
  </x:si>
  <x:si>
    <x:t>스텐 받드</x:t>
  </x:si>
  <x:si>
    <x:t>특6호 (백)</x:t>
  </x:si>
  <x:si>
    <x:t>스텐받드 뚜껑</x:t>
  </x:si>
  <x:si>
    <x:t>DS-7113</x:t>
  </x:si>
  <x:si>
    <x:t>거북양손가위</x:t>
  </x:si>
  <x:si>
    <x:t>만능용기</x:t>
  </x:si>
  <x:si>
    <x:t>DS-7032</x:t>
  </x:si>
  <x:si>
    <x:t>뚝배기 집게</x:t>
  </x:si>
  <x:si>
    <x:t>납 품 일 :</x:t>
  </x:si>
  <x:si>
    <x:t>가위 식가위</x:t>
  </x:si>
  <x:si>
    <x:t>스텐 뼈통</x:t>
  </x:si>
  <x:si>
    <x:t>DS-7095</x:t>
  </x:si>
  <x:si>
    <x:t>DS-7093</x:t>
  </x:si>
  <x:si>
    <x:t>스텐 소스볼 국산 27종</x:t>
  </x:si>
  <x:si>
    <x:t>업소용 이중 스텐 밥그릇</x:t>
  </x:si>
  <x:si>
    <x:t>FAX: 431-5534</x:t>
  </x:si>
  <x:si>
    <x:t>바이굿즈 75L 휴지몸통</x:t>
  </x:si>
  <x:si>
    <x:t>알루미늄 막걸리 주전자</x:t>
  </x:si>
  <x:si>
    <x:t>블랙 멜라민 긴 사각접시</x:t>
  </x:si>
  <x:si>
    <x:t>멜라민 3구 접시</x:t>
  </x:si>
  <x:si>
    <x:t>멜라민 원형 접시</x:t>
  </x:si>
  <x:si>
    <x:t>빌지받침대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</x:si>
</x:sst>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2">
    <x:numFmt numFmtId="164" formatCode="#,##0_ "/>
    <x:numFmt numFmtId="165" formatCode="[DBNum4][$-412]General"/>
  </x:numFmts>
  <x:fonts count="20"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맑은 고딕"/>
      <x:sz val="11"/>
      <x:color rgb="ff000000"/>
    </x:font>
    <x:font>
      <x:name val="맑은 고딕"/>
      <x:sz val="18"/>
      <x:color rgb="ff000000"/>
      <x:b val="1"/>
    </x:font>
    <x:font>
      <x:name val="맑은 고딕"/>
      <x:sz val="12"/>
      <x:color rgb="ff000000"/>
    </x:font>
    <x:font>
      <x:name val="맑은 고딕"/>
      <x:sz val="26"/>
      <x:color rgb="ff000000"/>
    </x:font>
    <x:font>
      <x:name val="맑은 고딕"/>
      <x:sz val="12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4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4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25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25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b val="1"/>
        </x:font>
      </mc:Fallback>
    </mc:AlternateContent>
  </x:fonts>
  <x:fills count="3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</x:fills>
  <x:borders count="29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double">
        <x:color auto="1"/>
      </x:top>
      <x:bottom>
        <x:color auto="1"/>
      </x:bottom>
    </x:border>
    <x:border>
      <x:left>
        <x:color auto="1"/>
      </x:left>
      <x:right style="double">
        <x:color auto="1"/>
      </x:right>
      <x:top style="double">
        <x:color auto="1"/>
      </x:top>
      <x:bottom>
        <x:color auto="1"/>
      </x:bottom>
    </x:border>
    <x:border>
      <x:left style="double">
        <x:color auto="1"/>
      </x:left>
      <x:right style="thin">
        <x:color auto="1"/>
      </x:right>
      <x:top style="double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double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double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double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double">
        <x:color auto="1"/>
      </x:right>
      <x:top style="thin">
        <x:color auto="1"/>
      </x:top>
      <x:bottom>
        <x:color auto="1"/>
      </x:bottom>
    </x:border>
    <x:border>
      <x:left style="double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double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double"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double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 style="double">
        <x:color auto="1"/>
      </x:left>
      <x:right>
        <x:color auto="1"/>
      </x:right>
      <x:top style="double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double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double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double">
        <x:color auto="1"/>
      </x:top>
      <x:bottom style="thin">
        <x:color auto="1"/>
      </x:bottom>
    </x:border>
    <x:border>
      <x:left>
        <x:color auto="1"/>
      </x:left>
      <x:right style="double">
        <x:color auto="1"/>
      </x:right>
      <x:top style="double">
        <x:color auto="1"/>
      </x:top>
      <x:bottom style="thin">
        <x:color auto="1"/>
      </x:bottom>
    </x:border>
    <x:border>
      <x:left style="double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double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double">
        <x:color auto="1"/>
      </x:left>
      <x:right style="thin">
        <x:color auto="1"/>
      </x:right>
      <x:top style="thin">
        <x:color auto="1"/>
      </x:top>
      <x:bottom>
        <x:color auto="1"/>
      </x:bottom>
    </x:border>
  </x:borders>
  <x:cellStyleXfs count="3">
    <x:xf numFmtId="0" fontId="0" fillId="0" borderId="0">
      <x:alignment horizontal="general" vertical="center"/>
    </x:xf>
    <x:xf numFmtId="41" fontId="0" fillId="0" borderId="0" applyFont="1" applyFill="1" applyBorder="1" applyAlignment="1" applyProtection="1">
      <x:alignment horizontal="general" vertical="center"/>
    </x:xf>
    <x:xf numFmtId="42" fontId="0" fillId="0" borderId="0" applyFont="1" applyFill="1" applyBorder="1" applyAlignment="1" applyProtection="1">
      <x:alignment horizontal="general" vertical="center"/>
    </x:xf>
  </x:cellStyleXfs>
  <x:cellXfs count="102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>
          <x:alignment horizontal="center" vertical="center"/>
        </x:xf>
      </mc:Fallback>
    </mc:AlternateContent>
    <x:xf numFmtId="0" fontId="6" fillId="0" borderId="0" xfId="0" applyNumberFormat="1" applyFont="1" applyAlignment="1">
      <x:alignment horizontal="general" vertical="center"/>
    </x:xf>
    <x:xf numFmtId="41" fontId="6" fillId="0" borderId="0" xfId="0" applyNumberFormat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Alignment="1">
          <x:alignment horizontal="center" vertical="center"/>
        </x:xf>
      </mc:Fallback>
    </mc:AlternateContent>
    <x:xf numFmtId="0" fontId="7" fillId="0" borderId="0" xfId="0" applyNumberFormat="1" applyFont="1" applyAlignment="1">
      <x:alignment horizontal="general" vertical="center"/>
    </x:xf>
    <x:xf numFmtId="0" fontId="8" fillId="0" borderId="0" xfId="0" applyNumberFormat="1" applyFont="1" applyAlignment="1">
      <x:alignment horizontal="left" vertical="center"/>
    </x:xf>
    <x:xf numFmtId="0" fontId="9" fillId="0" borderId="0" xfId="0" applyNumberFormat="1" applyFont="1" applyAlignment="1">
      <x:alignment horizontal="general" vertical="center"/>
    </x:xf>
    <x:xf numFmtId="42" fontId="6" fillId="0" borderId="0" xfId="0" applyNumberFormat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1" xfId="0" applyNumberFormat="1" applyFont="1" applyBorder="1" applyAlignment="1">
          <x:alignment horizontal="center" vertical="center"/>
        </x:xf>
      </mc:Fallback>
    </mc:AlternateContent>
    <x:xf numFmtId="165" fontId="10" fillId="0" borderId="5" xfId="0" applyNumberFormat="1" applyFont="1" applyBorder="1" applyAlignment="1">
      <x:alignment horizontal="general" vertical="center"/>
    </x:xf>
    <x:xf numFmtId="0" fontId="8" fillId="0" borderId="0" xfId="0" applyNumberFormat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1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1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13" xfId="0" applyNumberFormat="1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13" xfId="0" applyNumberFormat="1" applyFont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1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13" xfId="0" applyNumberFormat="1" applyFont="1" applyBorder="1" applyAlignment="1">
          <x:alignment horizontal="center" vertical="center"/>
        </x:xf>
      </mc:Fallback>
    </mc:AlternateContent>
    <x:xf numFmtId="41" fontId="6" fillId="0" borderId="0" xfId="1" applyNumberFormat="1" applyFont="1" applyAlignment="1">
      <x:alignment horizontal="general" vertical="center"/>
    </x:xf>
    <x:xf numFmtId="164" fontId="6" fillId="0" borderId="13" xfId="0" applyNumberFormat="1" applyFont="1" applyBorder="1" applyAlignment="1">
      <x:alignment horizontal="general" vertical="center"/>
    </x:xf>
    <x:xf numFmtId="0" fontId="6" fillId="0" borderId="0" xfId="0" applyNumberFormat="1" applyFont="1" applyAlignment="1">
      <x:alignment horizontal="left" vertical="center"/>
    </x:xf>
    <x:xf numFmtId="0" fontId="11" fillId="0" borderId="0" xfId="0" applyNumberFormat="1" applyFont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2" fillId="0" borderId="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14" xfId="1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14" xfId="1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0" xfId="0" applyNumberFormat="1" applyFont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0" xfId="0" applyNumberFormat="1" applyFont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4" fillId="0" borderId="14" xfId="1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4" fillId="0" borderId="14" xfId="1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6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6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5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5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0" borderId="1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0" borderId="1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0" borderId="2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0" borderId="2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0" borderId="2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0" borderId="2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2" xfId="0" applyNumberFormat="1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8" fillId="0" borderId="22" xfId="0" applyNumberFormat="1" applyFont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5" xfId="0" applyNumberFormat="1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8" fillId="0" borderId="5" xfId="0" applyNumberFormat="1" applyFont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2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2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2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2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2" xfId="0" applyNumberFormat="1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8" fillId="0" borderId="12" xfId="0" applyNumberFormat="1" applyFont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3" xfId="0" applyNumberFormat="1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8" fillId="0" borderId="13" xfId="0" applyNumberFormat="1" applyFont="1" applyBorder="1" applyAlignment="1">
          <x:alignment horizontal="left" vertical="center" indent="1"/>
        </x:xf>
      </mc:Fallback>
    </mc:AlternateContent>
    <x:xf numFmtId="42" fontId="6" fillId="0" borderId="25" xfId="2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1" fontId="6" fillId="0" borderId="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6" xfId="0" applyNumberFormat="1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8" fillId="0" borderId="26" xfId="0" applyNumberFormat="1" applyFont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5" xfId="0" applyNumberFormat="1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8" fillId="0" borderId="25" xfId="0" applyNumberFormat="1" applyFont="1" applyBorder="1" applyAlignment="1">
          <x:alignment horizontal="left" vertical="center" indent="1"/>
        </x:xf>
      </mc:Fallback>
    </mc:AlternateContent>
    <x:xf numFmtId="42" fontId="6" fillId="0" borderId="27" xfId="2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1" fontId="16" fillId="0" borderId="2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6" fillId="0" borderId="2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6" fillId="0" borderId="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6" fillId="0" borderId="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6" fillId="0" borderId="2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6" fillId="0" borderId="2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28" xfId="0" applyNumberFormat="1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10" fillId="0" borderId="28" xfId="0" applyNumberFormat="1" applyFont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27" xfId="0" applyNumberFormat="1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10" fillId="0" borderId="27" xfId="0" applyNumberFormat="1" applyFont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2" fontId="17" fillId="0" borderId="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2" fontId="17" fillId="0" borderId="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0" borderId="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0" borderId="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0" borderId="5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0" borderId="5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2" fontId="15" fillId="0" borderId="5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2" fontId="15" fillId="0" borderId="5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13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13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23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23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24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24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2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2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5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5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24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24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23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23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5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5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5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5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1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1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13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13" xfId="1" applyNumberFormat="1" applyFont="1" applyBorder="1" applyAlignment="1">
          <x:alignment horizontal="center" vertical="center"/>
        </x:xf>
      </mc:Fallback>
    </mc:AlternateContent>
    <x:xf numFmtId="0" fontId="6" fillId="0" borderId="13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1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1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8" fillId="0" borderId="13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8" fillId="0" borderId="13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8" fillId="0" borderId="1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8" fillId="0" borderId="13" xfId="0" applyNumberFormat="1" applyFont="1" applyBorder="1" applyAlignment="1">
          <x:alignment horizontal="center" vertical="center"/>
        </x:xf>
      </mc:Fallback>
    </mc:AlternateContent>
    <x:xf numFmtId="164" fontId="18" fillId="0" borderId="13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0" borderId="1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1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1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2" borderId="1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2" borderId="1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1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1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1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1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13" xfId="1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13" xfId="1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4" fillId="0" borderId="13" xfId="1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4" fillId="0" borderId="13" xfId="1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8" fillId="0" borderId="1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8" fillId="0" borderId="1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8" fillId="0" borderId="13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8" fillId="0" borderId="13" xfId="1" applyNumberFormat="1" applyFont="1" applyBorder="1" applyAlignment="1">
          <x:alignment horizontal="center" vertical="center"/>
        </x:xf>
      </mc:Fallback>
    </mc:AlternateContent>
    <x:xf numFmtId="49" fontId="6" fillId="0" borderId="13" xfId="1" applyNumberFormat="1" applyFont="1" applyFill="1" applyBorder="1" applyAlignment="1" applyProtection="1">
      <x:alignment horizontal="general" vertical="center" wrapText="1" shrinkToFit="1"/>
    </x:xf>
  </x:cellXfs>
  <x:cellStyles count="3">
    <x:cellStyle name="표준" xfId="0" builtinId="0"/>
    <x:cellStyle name="쉼표 [0]" xfId="1" builtinId="6"/>
    <x:cellStyle name="통화 [0]" xfId="2" builtinId="7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drawings/_rels/drawing2.xml.rels><?xml version="1.0" encoding="UTF-8" standalone="yes" ?><Relationships xmlns="http://schemas.openxmlformats.org/package/2006/relationships"><Relationship Id="rId1" Type="http://schemas.openxmlformats.org/officeDocument/2006/relationships/image" Target="../media/image2.jpeg"  /></Relationships>
</file>

<file path=xl/drawings/drawing2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absolute">
    <xdr:from>
      <xdr:col>14</xdr:col>
      <xdr:colOff>466725</xdr:colOff>
      <xdr:row>8</xdr:row>
      <xdr:rowOff>200025</xdr:rowOff>
    </xdr:from>
    <xdr:to>
      <xdr:col>15</xdr:col>
      <xdr:colOff>47625</xdr:colOff>
      <xdr:row>10</xdr:row>
      <xdr:rowOff>57150</xdr:rowOff>
    </xdr:to>
    <xdr:pic macro="" fPublished="0">
      <xdr:nvPicPr>
        <xdr:cNvPr id="2061" name="그림 1"/>
        <xdr:cNvPicPr>
          <a:picLocks noChangeAspect="1"/>
        </xdr:cNvPicPr>
      </xdr:nvPicPr>
      <xdr:blipFill rotWithShape="1">
        <a:blip r:embed="rId1">
          <a:clrChange>
            <a:clrFrom>
              <a:srgbClr val="f8fefc"/>
            </a:clrFrom>
            <a:clrTo>
              <a:srgbClr val="f8fefc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7213600" y="1892300"/>
          <a:ext cx="381000" cy="342900"/>
        </a:xfrm>
        <a:prstGeom prst="rect">
          <a:avLst/>
        </a:prstGeom>
        <a:noFill/>
        <a:ln>
          <a:noFill/>
        </a:ln>
      </xdr:spPr>
    </xdr:pic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2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Q94"/>
  <x:sheetViews>
    <x:sheetView tabSelected="1" view="pageBreakPreview" topLeftCell="A85" zoomScale="75" zoomScaleNormal="100" zoomScaleSheetLayoutView="75" workbookViewId="0">
      <x:selection activeCell="H100" activeCellId="0" sqref="H100:H100"/>
    </x:sheetView>
  </x:sheetViews>
  <x:sheetFormatPr defaultColWidth="8.88671875" defaultRowHeight="16.399999999999999"/>
  <x:cols>
    <x:col min="1" max="1" width="2" style="2" customWidth="1"/>
    <x:col min="2" max="2" width="3.77734375" style="4" customWidth="1"/>
    <x:col min="3" max="3" width="7.77734375" style="2" customWidth="1"/>
    <x:col min="4" max="4" width="5" style="2" customWidth="1"/>
    <x:col min="5" max="5" width="4.88671875" style="2" customWidth="1"/>
    <x:col min="6" max="7" width="7.109375" style="2" customWidth="1"/>
    <x:col min="8" max="8" width="6.5546875" style="2" customWidth="1"/>
    <x:col min="9" max="9" width="10" style="2" customWidth="1"/>
    <x:col min="10" max="11" width="4.109375" style="2" customWidth="1"/>
    <x:col min="12" max="12" width="5.44140625" style="2" customWidth="1"/>
    <x:col min="13" max="13" width="5.21875" style="3" customWidth="1"/>
    <x:col min="14" max="14" width="5.21875" style="2" customWidth="1"/>
    <x:col min="15" max="15" width="9.33203125" style="2" customWidth="1"/>
    <x:col min="16" max="16" width="27.5546875" style="27" customWidth="1"/>
    <x:col min="17" max="17" width="14" style="2" customWidth="1"/>
    <x:col min="18" max="16384" width="8.88671875" style="2"/>
  </x:cols>
  <x:sheetData>
    <x:row r="1" spans="2:3" ht="16.75">
      <x:c r="B1" s="1"/>
      <x:c r="C1" s="1"/>
    </x:row>
    <x:row r="2" spans="4:4" ht="8.0999999999999996" customHeight="1">
      <x:c r="D2" s="4"/>
    </x:row>
    <x:row r="3" spans="6:15" ht="26.25" customHeight="1">
      <x:c r="F3" s="5"/>
      <x:c r="G3" s="33" t="s">
        <x:v>67</x:v>
      </x:c>
      <x:c r="H3" s="33"/>
      <x:c r="I3" s="33"/>
      <x:c r="J3" s="33"/>
      <x:c r="K3" s="33"/>
      <x:c r="L3" s="33"/>
      <x:c r="O3" s="31"/>
    </x:row>
    <x:row r="4" spans="8:8">
      <x:c r="H4" s="2" t="s">
        <x:v>119</x:v>
      </x:c>
    </x:row>
    <x:row r="6" spans="2:15" ht="20.100000000000001" customHeight="1">
      <x:c r="B6" s="34" t="s">
        <x:v>43</x:v>
      </x:c>
      <x:c r="C6" s="34"/>
      <x:c r="D6" s="34"/>
      <x:c r="E6" s="34"/>
      <x:c r="F6" s="34"/>
      <x:c r="G6" s="34"/>
      <x:c r="H6" s="28" t="s">
        <x:v>12</x:v>
      </x:c>
      <x:c r="I6" s="7"/>
      <x:c r="J6" s="7"/>
      <x:c r="K6" s="7"/>
      <x:c r="L6" s="7"/>
      <x:c r="M6" s="35" t="s">
        <x:v>121</x:v>
      </x:c>
      <x:c r="N6" s="35"/>
      <x:c r="O6" s="35"/>
    </x:row>
    <x:row r="7" spans="2:15" ht="14.25" customHeight="1">
      <x:c r="B7" s="36"/>
      <x:c r="C7" s="36"/>
      <x:c r="D7" s="36"/>
      <x:c r="E7" s="36"/>
      <x:c r="F7" s="36"/>
      <x:c r="G7" s="36"/>
      <x:c r="H7" s="6"/>
      <x:c r="I7" s="7"/>
      <x:c r="J7" s="7"/>
      <x:c r="K7" s="7"/>
      <x:c r="L7" s="7"/>
      <x:c r="M7" s="35"/>
      <x:c r="N7" s="35"/>
      <x:c r="O7" s="35"/>
    </x:row>
    <x:row r="8" spans="2:17" ht="14.1" customHeight="1">
      <x:c r="B8" s="37"/>
      <x:c r="C8" s="37"/>
      <x:c r="D8" s="37"/>
      <x:c r="E8" s="37"/>
      <x:c r="F8" s="37"/>
      <x:c r="G8" s="37"/>
      <x:c r="Q8" s="8"/>
    </x:row>
    <x:row r="9" spans="2:15" ht="18.949999999999999" customHeight="1">
      <x:c r="B9" s="38"/>
      <x:c r="C9" s="39"/>
      <x:c r="D9" s="9"/>
      <x:c r="E9" s="9" t="s">
        <x:v>8</x:v>
      </x:c>
      <x:c r="F9" s="9"/>
      <x:c r="G9" s="10" t="s">
        <x:v>3</x:v>
      </x:c>
      <x:c r="H9" s="11" t="s">
        <x:v>5</x:v>
      </x:c>
      <x:c r="I9" s="40" t="s">
        <x:v>115</x:v>
      </x:c>
      <x:c r="J9" s="41"/>
      <x:c r="K9" s="42" t="s">
        <x:v>41</x:v>
      </x:c>
      <x:c r="L9" s="43"/>
      <x:c r="M9" s="43"/>
      <x:c r="N9" s="43"/>
      <x:c r="O9" s="44"/>
    </x:row>
    <x:row r="10" spans="2:15" ht="18.949999999999999" customHeight="1">
      <x:c r="B10" s="45" t="s">
        <x:v>139</x:v>
      </x:c>
      <x:c r="C10" s="46"/>
      <x:c r="D10" s="12"/>
      <x:c r="E10" s="12" t="s">
        <x:v>8</x:v>
      </x:c>
      <x:c r="F10" s="12"/>
      <x:c r="G10" s="13" t="s">
        <x:v>3</x:v>
      </x:c>
      <x:c r="H10" s="47" t="s">
        <x:v>9</x:v>
      </x:c>
      <x:c r="I10" s="48" t="s">
        <x:v>51</x:v>
      </x:c>
      <x:c r="J10" s="49"/>
      <x:c r="K10" s="50" t="s">
        <x:v>107</x:v>
      </x:c>
      <x:c r="L10" s="51"/>
      <x:c r="M10" s="52"/>
      <x:c r="N10" s="14" t="s">
        <x:v>126</x:v>
      </x:c>
      <x:c r="O10" s="15" t="s">
        <x:v>122</x:v>
      </x:c>
    </x:row>
    <x:row r="11" spans="2:15" ht="18.949999999999999" customHeight="1">
      <x:c r="B11" s="53" t="s">
        <x:v>124</x:v>
      </x:c>
      <x:c r="C11" s="54"/>
      <x:c r="D11" s="55">
        <x:f>D14</x:f>
        <x:v>17322140</x:v>
      </x:c>
      <x:c r="E11" s="55"/>
      <x:c r="F11" s="55"/>
      <x:c r="G11" s="16" t="s">
        <x:v>7</x:v>
      </x:c>
      <x:c r="H11" s="47"/>
      <x:c r="I11" s="48" t="s">
        <x:v>98</x:v>
      </x:c>
      <x:c r="J11" s="49"/>
      <x:c r="K11" s="50" t="s">
        <x:v>66</x:v>
      </x:c>
      <x:c r="L11" s="51"/>
      <x:c r="M11" s="51"/>
      <x:c r="N11" s="51"/>
      <x:c r="O11" s="56"/>
    </x:row>
    <x:row r="12" spans="2:15" ht="18.949999999999999" customHeight="1">
      <x:c r="B12" s="57" t="s">
        <x:v>125</x:v>
      </x:c>
      <x:c r="C12" s="58"/>
      <x:c r="D12" s="59"/>
      <x:c r="E12" s="59"/>
      <x:c r="F12" s="59"/>
      <x:c r="G12" s="17" t="s">
        <x:v>7</x:v>
      </x:c>
      <x:c r="H12" s="18" t="s">
        <x:v>2</x:v>
      </x:c>
      <x:c r="I12" s="48" t="s">
        <x:v>106</x:v>
      </x:c>
      <x:c r="J12" s="49"/>
      <x:c r="K12" s="60" t="s">
        <x:v>48</x:v>
      </x:c>
      <x:c r="L12" s="61"/>
      <x:c r="M12" s="62"/>
      <x:c r="N12" s="48" t="s">
        <x:v>146</x:v>
      </x:c>
      <x:c r="O12" s="63"/>
    </x:row>
    <x:row r="13" spans="2:15" ht="18.949999999999999" customHeight="1">
      <x:c r="B13" s="64" t="s">
        <x:v>49</x:v>
      </x:c>
      <x:c r="C13" s="65"/>
      <x:c r="D13" s="66"/>
      <x:c r="E13" s="67"/>
      <x:c r="F13" s="67"/>
      <x:c r="G13" s="17" t="s">
        <x:v>7</x:v>
      </x:c>
      <x:c r="H13" s="68" t="s">
        <x:v>40</x:v>
      </x:c>
      <x:c r="I13" s="69"/>
      <x:c r="J13" s="69"/>
      <x:c r="K13" s="69"/>
      <x:c r="L13" s="69"/>
      <x:c r="M13" s="69"/>
      <x:c r="N13" s="69"/>
      <x:c r="O13" s="70"/>
    </x:row>
    <x:row r="14" spans="2:16" s="20" customFormat="1" ht="27.949999999999999" customHeight="1">
      <x:c r="B14" s="71" t="s">
        <x:v>46</x:v>
      </x:c>
      <x:c r="C14" s="69"/>
      <x:c r="D14" s="72">
        <x:f>I14+M14</x:f>
        <x:v>17322140</x:v>
      </x:c>
      <x:c r="E14" s="72"/>
      <x:c r="F14" s="72"/>
      <x:c r="G14" s="19" t="s">
        <x:v>65</x:v>
      </x:c>
      <x:c r="H14" s="19"/>
      <x:c r="I14" s="73">
        <x:f>SUM(J19:L88)</x:f>
        <x:v>15747400</x:v>
      </x:c>
      <x:c r="J14" s="73"/>
      <x:c r="K14" s="74" t="s">
        <x:v>44</x:v>
      </x:c>
      <x:c r="L14" s="74"/>
      <x:c r="M14" s="73">
        <x:f>SUM(M19:N88)</x:f>
        <x:v>1574740</x:v>
      </x:c>
      <x:c r="N14" s="73"/>
      <x:c r="O14" s="29" t="s">
        <x:v>47</x:v>
      </x:c>
      <x:c r="P14" s="6"/>
    </x:row>
    <x:row r="15" spans="1:16" s="20" customFormat="1" ht="27.949999999999999" customHeight="1">
      <x:c r="A15" s="92" t="s">
        <x:v>0</x:v>
      </x:c>
      <x:c r="B15" s="87"/>
      <x:c r="C15" s="87"/>
      <x:c r="D15" s="87"/>
      <x:c r="E15" s="87"/>
      <x:c r="F15" s="87"/>
      <x:c r="G15" s="87"/>
      <x:c r="H15" s="87"/>
      <x:c r="I15" s="87"/>
      <x:c r="J15" s="87"/>
      <x:c r="K15" s="87"/>
      <x:c r="L15" s="87"/>
      <x:c r="M15" s="87"/>
      <x:c r="N15" s="87"/>
      <x:c r="O15" s="93"/>
      <x:c r="P15" s="6"/>
    </x:row>
    <x:row r="16" spans="1:16" s="20" customFormat="1" ht="27.949999999999999" customHeight="1">
      <x:c r="A16" s="92" t="s">
        <x:v>39</x:v>
      </x:c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3"/>
      <x:c r="P16" s="6"/>
    </x:row>
    <x:row r="17" spans="1:16" s="20" customFormat="1" ht="27.949999999999999" customHeight="1">
      <x:c r="A17" s="92" t="s">
        <x:v>42</x:v>
      </x:c>
      <x:c r="B17" s="87"/>
      <x:c r="C17" s="87"/>
      <x:c r="D17" s="87"/>
      <x:c r="E17" s="87"/>
      <x:c r="F17" s="87"/>
      <x:c r="G17" s="87"/>
      <x:c r="H17" s="87"/>
      <x:c r="I17" s="87"/>
      <x:c r="J17" s="87"/>
      <x:c r="K17" s="87"/>
      <x:c r="L17" s="87"/>
      <x:c r="M17" s="87"/>
      <x:c r="N17" s="87"/>
      <x:c r="O17" s="93"/>
      <x:c r="P17" s="6"/>
    </x:row>
    <x:row r="18" spans="1:15" ht="23.100000000000001" customHeight="1">
      <x:c r="A18" s="86"/>
      <x:c r="B18" s="94" t="s">
        <x:v>6</x:v>
      </x:c>
      <x:c r="C18" s="95" t="s">
        <x:v>50</x:v>
      </x:c>
      <x:c r="D18" s="95"/>
      <x:c r="E18" s="95"/>
      <x:c r="F18" s="95" t="s">
        <x:v>101</x:v>
      </x:c>
      <x:c r="G18" s="95"/>
      <x:c r="H18" s="96" t="s">
        <x:v>114</x:v>
      </x:c>
      <x:c r="I18" s="96" t="s">
        <x:v>108</x:v>
      </x:c>
      <x:c r="J18" s="95" t="s">
        <x:v>113</x:v>
      </x:c>
      <x:c r="K18" s="95"/>
      <x:c r="L18" s="95"/>
      <x:c r="M18" s="95" t="s">
        <x:v>123</x:v>
      </x:c>
      <x:c r="N18" s="95"/>
      <x:c r="O18" s="96" t="s">
        <x:v>10</x:v>
      </x:c>
    </x:row>
    <x:row r="19" spans="2:15" ht="18.949999999999999" customHeight="1">
      <x:c r="B19" s="21">
        <x:v>1</x:v>
      </x:c>
      <x:c r="C19" s="75" t="s">
        <x:v>45</x:v>
      </x:c>
      <x:c r="D19" s="75"/>
      <x:c r="E19" s="75"/>
      <x:c r="F19" s="76" t="s">
        <x:v>11</x:v>
      </x:c>
      <x:c r="G19" s="77"/>
      <x:c r="H19" s="22">
        <x:v>500</x:v>
      </x:c>
      <x:c r="I19" s="23">
        <x:v>700</x:v>
      </x:c>
      <x:c r="J19" s="78">
        <x:f>H19*I19</x:f>
        <x:v>350000</x:v>
      </x:c>
      <x:c r="K19" s="79"/>
      <x:c r="L19" s="80"/>
      <x:c r="M19" s="81">
        <x:f>J19*0.1</x:f>
        <x:v>35000</x:v>
      </x:c>
      <x:c r="N19" s="82"/>
      <x:c r="O19" s="30"/>
    </x:row>
    <x:row r="20" spans="2:15" ht="18.949999999999999" customHeight="1">
      <x:c r="B20" s="21">
        <x:v>2</x:v>
      </x:c>
      <x:c r="C20" s="75" t="s">
        <x:v>53</x:v>
      </x:c>
      <x:c r="D20" s="75"/>
      <x:c r="E20" s="75"/>
      <x:c r="F20" s="76" t="s">
        <x:v>13</x:v>
      </x:c>
      <x:c r="G20" s="77"/>
      <x:c r="H20" s="22">
        <x:v>70</x:v>
      </x:c>
      <x:c r="I20" s="26">
        <x:v>780</x:v>
      </x:c>
      <x:c r="J20" s="78">
        <x:f t="shared" ref="J20:J40" si="0">H20*I20</x:f>
        <x:v>54600</x:v>
      </x:c>
      <x:c r="K20" s="79"/>
      <x:c r="L20" s="80"/>
      <x:c r="M20" s="81">
        <x:f t="shared" ref="M20:M40" si="1">J20*0.1</x:f>
        <x:v>5460</x:v>
      </x:c>
      <x:c r="N20" s="82"/>
      <x:c r="O20" s="30"/>
    </x:row>
    <x:row r="21" spans="2:15" ht="18.949999999999999" customHeight="1">
      <x:c r="B21" s="21">
        <x:v>3</x:v>
      </x:c>
      <x:c r="C21" s="75" t="s">
        <x:v>109</x:v>
      </x:c>
      <x:c r="D21" s="75"/>
      <x:c r="E21" s="75"/>
      <x:c r="F21" s="76" t="s">
        <x:v>22</x:v>
      </x:c>
      <x:c r="G21" s="77"/>
      <x:c r="H21" s="22">
        <x:v>30</x:v>
      </x:c>
      <x:c r="I21" s="26">
        <x:v>1050</x:v>
      </x:c>
      <x:c r="J21" s="78">
        <x:f t="shared" si="0"/>
        <x:v>31500</x:v>
      </x:c>
      <x:c r="K21" s="79"/>
      <x:c r="L21" s="80"/>
      <x:c r="M21" s="81">
        <x:f t="shared" si="1"/>
        <x:v>3150</x:v>
      </x:c>
      <x:c r="N21" s="82"/>
      <x:c r="O21" s="30"/>
    </x:row>
    <x:row r="22" spans="2:15" ht="18.949999999999999" customHeight="1">
      <x:c r="B22" s="21">
        <x:v>4</x:v>
      </x:c>
      <x:c r="C22" s="75" t="s">
        <x:v>53</x:v>
      </x:c>
      <x:c r="D22" s="75"/>
      <x:c r="E22" s="75"/>
      <x:c r="F22" s="76" t="s">
        <x:v>18</x:v>
      </x:c>
      <x:c r="G22" s="77"/>
      <x:c r="H22" s="24">
        <x:v>10</x:v>
      </x:c>
      <x:c r="I22" s="23">
        <x:v>950</x:v>
      </x:c>
      <x:c r="J22" s="78">
        <x:f t="shared" si="0"/>
        <x:v>9500</x:v>
      </x:c>
      <x:c r="K22" s="79"/>
      <x:c r="L22" s="80"/>
      <x:c r="M22" s="81">
        <x:f t="shared" si="1"/>
        <x:v>950</x:v>
      </x:c>
      <x:c r="N22" s="82"/>
      <x:c r="O22" s="30"/>
    </x:row>
    <x:row r="23" spans="2:15" ht="18.949999999999999" customHeight="1">
      <x:c r="B23" s="21">
        <x:v>5</x:v>
      </x:c>
      <x:c r="C23" s="75" t="s">
        <x:v>144</x:v>
      </x:c>
      <x:c r="D23" s="75"/>
      <x:c r="E23" s="75"/>
      <x:c r="F23" s="76" t="s">
        <x:v>27</x:v>
      </x:c>
      <x:c r="G23" s="77"/>
      <x:c r="H23" s="24">
        <x:v>50</x:v>
      </x:c>
      <x:c r="I23" s="23">
        <x:v>1000</x:v>
      </x:c>
      <x:c r="J23" s="78">
        <x:f t="shared" si="0"/>
        <x:v>50000</x:v>
      </x:c>
      <x:c r="K23" s="79"/>
      <x:c r="L23" s="80"/>
      <x:c r="M23" s="81">
        <x:f t="shared" si="1"/>
        <x:v>5000</x:v>
      </x:c>
      <x:c r="N23" s="82"/>
      <x:c r="O23" s="30"/>
    </x:row>
    <x:row r="24" spans="2:15" ht="18.949999999999999" customHeight="1">
      <x:c r="B24" s="21">
        <x:v>6</x:v>
      </x:c>
      <x:c r="C24" s="75" t="s">
        <x:v>32</x:v>
      </x:c>
      <x:c r="D24" s="75"/>
      <x:c r="E24" s="75"/>
      <x:c r="F24" s="76" t="s">
        <x:v>20</x:v>
      </x:c>
      <x:c r="G24" s="77"/>
      <x:c r="H24" s="22">
        <x:v>15</x:v>
      </x:c>
      <x:c r="I24" s="23">
        <x:v>1500</x:v>
      </x:c>
      <x:c r="J24" s="78">
        <x:f t="shared" si="0"/>
        <x:v>22500</x:v>
      </x:c>
      <x:c r="K24" s="79"/>
      <x:c r="L24" s="80"/>
      <x:c r="M24" s="81">
        <x:f t="shared" si="1"/>
        <x:v>2250</x:v>
      </x:c>
      <x:c r="N24" s="82"/>
      <x:c r="O24" s="30"/>
    </x:row>
    <x:row r="25" spans="2:15" ht="18.949999999999999" customHeight="1">
      <x:c r="B25" s="21">
        <x:v>7</x:v>
      </x:c>
      <x:c r="C25" s="75" t="s">
        <x:v>37</x:v>
      </x:c>
      <x:c r="D25" s="75"/>
      <x:c r="E25" s="75"/>
      <x:c r="F25" s="76" t="s">
        <x:v>103</x:v>
      </x:c>
      <x:c r="G25" s="77"/>
      <x:c r="H25" s="22">
        <x:v>15</x:v>
      </x:c>
      <x:c r="I25" s="23">
        <x:v>1500</x:v>
      </x:c>
      <x:c r="J25" s="78">
        <x:f t="shared" si="0"/>
        <x:v>22500</x:v>
      </x:c>
      <x:c r="K25" s="79"/>
      <x:c r="L25" s="80"/>
      <x:c r="M25" s="81">
        <x:f t="shared" si="1"/>
        <x:v>2250</x:v>
      </x:c>
      <x:c r="N25" s="82"/>
      <x:c r="O25" s="30"/>
    </x:row>
    <x:row r="26" spans="2:15" ht="18.949999999999999" customHeight="1">
      <x:c r="B26" s="21">
        <x:v>8</x:v>
      </x:c>
      <x:c r="C26" s="75" t="s">
        <x:v>133</x:v>
      </x:c>
      <x:c r="D26" s="75"/>
      <x:c r="E26" s="75"/>
      <x:c r="F26" s="76" t="s">
        <x:v>30</x:v>
      </x:c>
      <x:c r="G26" s="77"/>
      <x:c r="H26" s="24">
        <x:v>20</x:v>
      </x:c>
      <x:c r="I26" s="23">
        <x:v>1700</x:v>
      </x:c>
      <x:c r="J26" s="78">
        <x:f t="shared" si="0"/>
        <x:v>34000</x:v>
      </x:c>
      <x:c r="K26" s="79"/>
      <x:c r="L26" s="80"/>
      <x:c r="M26" s="81">
        <x:f t="shared" si="1"/>
        <x:v>3400</x:v>
      </x:c>
      <x:c r="N26" s="82"/>
      <x:c r="O26" s="30"/>
    </x:row>
    <x:row r="27" spans="2:15" ht="18.949999999999999" customHeight="1">
      <x:c r="B27" s="21">
        <x:v>9</x:v>
      </x:c>
      <x:c r="C27" s="75" t="s">
        <x:v>52</x:v>
      </x:c>
      <x:c r="D27" s="75"/>
      <x:c r="E27" s="75"/>
      <x:c r="F27" s="76"/>
      <x:c r="G27" s="77"/>
      <x:c r="H27" s="22">
        <x:v>55</x:v>
      </x:c>
      <x:c r="I27" s="23">
        <x:v>1900</x:v>
      </x:c>
      <x:c r="J27" s="78">
        <x:f t="shared" si="0"/>
        <x:v>104500</x:v>
      </x:c>
      <x:c r="K27" s="79"/>
      <x:c r="L27" s="80"/>
      <x:c r="M27" s="81">
        <x:f t="shared" si="1"/>
        <x:v>10450</x:v>
      </x:c>
      <x:c r="N27" s="82"/>
      <x:c r="O27" s="30"/>
    </x:row>
    <x:row r="28" spans="2:15" ht="18.949999999999999" customHeight="1">
      <x:c r="B28" s="21">
        <x:v>10</x:v>
      </x:c>
      <x:c r="C28" s="75" t="s">
        <x:v>77</x:v>
      </x:c>
      <x:c r="D28" s="75"/>
      <x:c r="E28" s="75"/>
      <x:c r="F28" s="76" t="s">
        <x:v>34</x:v>
      </x:c>
      <x:c r="G28" s="77"/>
      <x:c r="H28" s="22">
        <x:v>200</x:v>
      </x:c>
      <x:c r="I28" s="23">
        <x:v>1800</x:v>
      </x:c>
      <x:c r="J28" s="78">
        <x:f t="shared" si="0"/>
        <x:v>360000</x:v>
      </x:c>
      <x:c r="K28" s="79"/>
      <x:c r="L28" s="80"/>
      <x:c r="M28" s="81">
        <x:f t="shared" si="1"/>
        <x:v>36000</x:v>
      </x:c>
      <x:c r="N28" s="82"/>
      <x:c r="O28" s="30"/>
    </x:row>
    <x:row r="29" spans="2:15" ht="18.949999999999999" customHeight="1">
      <x:c r="B29" s="21">
        <x:v>11</x:v>
      </x:c>
      <x:c r="C29" s="75" t="s">
        <x:v>145</x:v>
      </x:c>
      <x:c r="D29" s="75"/>
      <x:c r="E29" s="75"/>
      <x:c r="F29" s="76"/>
      <x:c r="G29" s="77"/>
      <x:c r="H29" s="22">
        <x:v>100</x:v>
      </x:c>
      <x:c r="I29" s="23">
        <x:v>2200</x:v>
      </x:c>
      <x:c r="J29" s="78">
        <x:f t="shared" si="0"/>
        <x:v>220000</x:v>
      </x:c>
      <x:c r="K29" s="79"/>
      <x:c r="L29" s="80"/>
      <x:c r="M29" s="81">
        <x:f t="shared" si="1"/>
        <x:v>22000</x:v>
      </x:c>
      <x:c r="N29" s="82"/>
      <x:c r="O29" s="30"/>
    </x:row>
    <x:row r="30" spans="2:15" ht="18.949999999999999" customHeight="1">
      <x:c r="B30" s="21">
        <x:v>12</x:v>
      </x:c>
      <x:c r="C30" s="75" t="s">
        <x:v>140</x:v>
      </x:c>
      <x:c r="D30" s="75"/>
      <x:c r="E30" s="75"/>
      <x:c r="F30" s="76"/>
      <x:c r="G30" s="77"/>
      <x:c r="H30" s="22">
        <x:v>200</x:v>
      </x:c>
      <x:c r="I30" s="23">
        <x:v>2630</x:v>
      </x:c>
      <x:c r="J30" s="78">
        <x:f t="shared" si="0"/>
        <x:v>526000</x:v>
      </x:c>
      <x:c r="K30" s="79"/>
      <x:c r="L30" s="80"/>
      <x:c r="M30" s="81">
        <x:f t="shared" si="1"/>
        <x:v>52600</x:v>
      </x:c>
      <x:c r="N30" s="82"/>
      <x:c r="O30" s="30"/>
    </x:row>
    <x:row r="31" spans="2:15" ht="18.949999999999999" customHeight="1">
      <x:c r="B31" s="21">
        <x:v>13</x:v>
      </x:c>
      <x:c r="C31" s="75" t="s">
        <x:v>105</x:v>
      </x:c>
      <x:c r="D31" s="75"/>
      <x:c r="E31" s="75"/>
      <x:c r="F31" s="76" t="s">
        <x:v>21</x:v>
      </x:c>
      <x:c r="G31" s="77"/>
      <x:c r="H31" s="22">
        <x:v>5</x:v>
      </x:c>
      <x:c r="I31" s="23">
        <x:v>2790</x:v>
      </x:c>
      <x:c r="J31" s="78">
        <x:f t="shared" si="0"/>
        <x:v>13950</x:v>
      </x:c>
      <x:c r="K31" s="79"/>
      <x:c r="L31" s="80"/>
      <x:c r="M31" s="81">
        <x:f t="shared" si="1"/>
        <x:v>1395</x:v>
      </x:c>
      <x:c r="N31" s="82"/>
      <x:c r="O31" s="30"/>
    </x:row>
    <x:row r="32" spans="2:15" ht="18.949999999999999" customHeight="1">
      <x:c r="B32" s="21">
        <x:v>14</x:v>
      </x:c>
      <x:c r="C32" s="75" t="s">
        <x:v>56</x:v>
      </x:c>
      <x:c r="D32" s="75"/>
      <x:c r="E32" s="75"/>
      <x:c r="F32" s="76"/>
      <x:c r="G32" s="77"/>
      <x:c r="H32" s="22">
        <x:v>50</x:v>
      </x:c>
      <x:c r="I32" s="23">
        <x:v>2500</x:v>
      </x:c>
      <x:c r="J32" s="78">
        <x:f t="shared" si="0"/>
        <x:v>125000</x:v>
      </x:c>
      <x:c r="K32" s="79"/>
      <x:c r="L32" s="80"/>
      <x:c r="M32" s="81">
        <x:f t="shared" si="1"/>
        <x:v>12500</x:v>
      </x:c>
      <x:c r="N32" s="82"/>
      <x:c r="O32" s="30"/>
    </x:row>
    <x:row r="33" spans="2:15" ht="18.949999999999999" customHeight="1">
      <x:c r="B33" s="21">
        <x:v>15</x:v>
      </x:c>
      <x:c r="C33" s="76" t="s">
        <x:v>60</x:v>
      </x:c>
      <x:c r="D33" s="83"/>
      <x:c r="E33" s="77"/>
      <x:c r="F33" s="76" t="s">
        <x:v>35</x:v>
      </x:c>
      <x:c r="G33" s="77"/>
      <x:c r="H33" s="22">
        <x:v>60</x:v>
      </x:c>
      <x:c r="I33" s="23">
        <x:v>3000</x:v>
      </x:c>
      <x:c r="J33" s="78">
        <x:f t="shared" si="0"/>
        <x:v>180000</x:v>
      </x:c>
      <x:c r="K33" s="79"/>
      <x:c r="L33" s="80"/>
      <x:c r="M33" s="81">
        <x:f t="shared" si="1"/>
        <x:v>18000</x:v>
      </x:c>
      <x:c r="N33" s="82"/>
      <x:c r="O33" s="30"/>
    </x:row>
    <x:row r="34" spans="2:17" ht="18.949999999999999" customHeight="1">
      <x:c r="B34" s="21">
        <x:v>16</x:v>
      </x:c>
      <x:c r="C34" s="76" t="s">
        <x:v>57</x:v>
      </x:c>
      <x:c r="D34" s="83"/>
      <x:c r="E34" s="77"/>
      <x:c r="F34" s="76"/>
      <x:c r="G34" s="77"/>
      <x:c r="H34" s="22">
        <x:v>55</x:v>
      </x:c>
      <x:c r="I34" s="23">
        <x:v>3000</x:v>
      </x:c>
      <x:c r="J34" s="78">
        <x:f t="shared" si="0"/>
        <x:v>165000</x:v>
      </x:c>
      <x:c r="K34" s="79"/>
      <x:c r="L34" s="80"/>
      <x:c r="M34" s="81">
        <x:f t="shared" si="1"/>
        <x:v>16500</x:v>
      </x:c>
      <x:c r="N34" s="82"/>
      <x:c r="O34" s="30"/>
      <x:c r="Q34" s="25"/>
    </x:row>
    <x:row r="35" spans="2:17" ht="18.949999999999999" customHeight="1">
      <x:c r="B35" s="21">
        <x:v>17</x:v>
      </x:c>
      <x:c r="C35" s="76" t="s">
        <x:v>75</x:v>
      </x:c>
      <x:c r="D35" s="83"/>
      <x:c r="E35" s="77"/>
      <x:c r="F35" s="76" t="s">
        <x:v>54</x:v>
      </x:c>
      <x:c r="G35" s="77"/>
      <x:c r="H35" s="24">
        <x:v>30</x:v>
      </x:c>
      <x:c r="I35" s="23">
        <x:v>3300</x:v>
      </x:c>
      <x:c r="J35" s="78">
        <x:f t="shared" si="0"/>
        <x:v>99000</x:v>
      </x:c>
      <x:c r="K35" s="79"/>
      <x:c r="L35" s="80"/>
      <x:c r="M35" s="81">
        <x:f t="shared" si="1"/>
        <x:v>9900</x:v>
      </x:c>
      <x:c r="N35" s="82"/>
      <x:c r="O35" s="30"/>
      <x:c r="Q35" s="25"/>
    </x:row>
    <x:row r="36" spans="2:17" ht="18.949999999999999" customHeight="1">
      <x:c r="B36" s="21">
        <x:v>18</x:v>
      </x:c>
      <x:c r="C36" s="76" t="s">
        <x:v>55</x:v>
      </x:c>
      <x:c r="D36" s="83"/>
      <x:c r="E36" s="77"/>
      <x:c r="F36" s="76" t="s">
        <x:v>17</x:v>
      </x:c>
      <x:c r="G36" s="77"/>
      <x:c r="H36" s="22">
        <x:v>8</x:v>
      </x:c>
      <x:c r="I36" s="23">
        <x:v>3300</x:v>
      </x:c>
      <x:c r="J36" s="78">
        <x:f t="shared" si="0"/>
        <x:v>26400</x:v>
      </x:c>
      <x:c r="K36" s="79"/>
      <x:c r="L36" s="80"/>
      <x:c r="M36" s="81">
        <x:f t="shared" si="1"/>
        <x:v>2640</x:v>
      </x:c>
      <x:c r="N36" s="82"/>
      <x:c r="O36" s="30"/>
      <x:c r="Q36" s="25"/>
    </x:row>
    <x:row r="37" spans="2:15" ht="18.949999999999999" customHeight="1">
      <x:c r="B37" s="21">
        <x:v>19</x:v>
      </x:c>
      <x:c r="C37" s="75" t="s">
        <x:v>117</x:v>
      </x:c>
      <x:c r="D37" s="75"/>
      <x:c r="E37" s="75"/>
      <x:c r="F37" s="76" t="s">
        <x:v>111</x:v>
      </x:c>
      <x:c r="G37" s="77"/>
      <x:c r="H37" s="22">
        <x:v>120</x:v>
      </x:c>
      <x:c r="I37" s="23">
        <x:v>3800</x:v>
      </x:c>
      <x:c r="J37" s="78">
        <x:f t="shared" si="0"/>
        <x:v>456000</x:v>
      </x:c>
      <x:c r="K37" s="79"/>
      <x:c r="L37" s="80"/>
      <x:c r="M37" s="81">
        <x:f t="shared" si="1"/>
        <x:v>45600</x:v>
      </x:c>
      <x:c r="N37" s="82"/>
      <x:c r="O37" s="30"/>
    </x:row>
    <x:row r="38" spans="2:15" ht="18.949999999999999" customHeight="1">
      <x:c r="B38" s="21">
        <x:v>20</x:v>
      </x:c>
      <x:c r="C38" s="75" t="s">
        <x:v>105</x:v>
      </x:c>
      <x:c r="D38" s="75"/>
      <x:c r="E38" s="75"/>
      <x:c r="F38" s="76" t="s">
        <x:v>19</x:v>
      </x:c>
      <x:c r="G38" s="77"/>
      <x:c r="H38" s="22">
        <x:v>5</x:v>
      </x:c>
      <x:c r="I38" s="23">
        <x:v>4190</x:v>
      </x:c>
      <x:c r="J38" s="78">
        <x:f t="shared" si="0"/>
        <x:v>20950</x:v>
      </x:c>
      <x:c r="K38" s="79"/>
      <x:c r="L38" s="80"/>
      <x:c r="M38" s="81">
        <x:f t="shared" si="1"/>
        <x:v>2095</x:v>
      </x:c>
      <x:c r="N38" s="82"/>
      <x:c r="O38" s="30"/>
    </x:row>
    <x:row r="39" spans="2:15" ht="18.949999999999999" customHeight="1">
      <x:c r="B39" s="21">
        <x:v>21</x:v>
      </x:c>
      <x:c r="C39" s="76" t="s">
        <x:v>76</x:v>
      </x:c>
      <x:c r="D39" s="83"/>
      <x:c r="E39" s="77"/>
      <x:c r="F39" s="76" t="s">
        <x:v>73</x:v>
      </x:c>
      <x:c r="G39" s="77"/>
      <x:c r="H39" s="22">
        <x:v>55</x:v>
      </x:c>
      <x:c r="I39" s="23">
        <x:v>3300</x:v>
      </x:c>
      <x:c r="J39" s="78">
        <x:f t="shared" si="0"/>
        <x:v>181500</x:v>
      </x:c>
      <x:c r="K39" s="79"/>
      <x:c r="L39" s="80"/>
      <x:c r="M39" s="81">
        <x:f t="shared" si="1"/>
        <x:v>18150</x:v>
      </x:c>
      <x:c r="N39" s="82"/>
      <x:c r="O39" s="30"/>
    </x:row>
    <x:row r="40" spans="2:15" ht="18.949999999999999" customHeight="1">
      <x:c r="B40" s="21">
        <x:v>22</x:v>
      </x:c>
      <x:c r="C40" s="75" t="s">
        <x:v>118</x:v>
      </x:c>
      <x:c r="D40" s="75"/>
      <x:c r="E40" s="75"/>
      <x:c r="F40" s="76" t="s">
        <x:v>99</x:v>
      </x:c>
      <x:c r="G40" s="77"/>
      <x:c r="H40" s="22">
        <x:v>3</x:v>
      </x:c>
      <x:c r="I40" s="26">
        <x:v>4000</x:v>
      </x:c>
      <x:c r="J40" s="78">
        <x:f t="shared" si="0"/>
        <x:v>12000</x:v>
      </x:c>
      <x:c r="K40" s="79"/>
      <x:c r="L40" s="80"/>
      <x:c r="M40" s="81">
        <x:f t="shared" si="1"/>
        <x:v>1200</x:v>
      </x:c>
      <x:c r="N40" s="82"/>
      <x:c r="O40" s="30"/>
    </x:row>
    <x:row r="41" spans="2:15" ht="18.75" customHeight="1">
      <x:c r="B41" s="21">
        <x:v>23</x:v>
      </x:c>
      <x:c r="C41" s="76" t="s">
        <x:v>100</x:v>
      </x:c>
      <x:c r="D41" s="83"/>
      <x:c r="E41" s="77"/>
      <x:c r="F41" s="76"/>
      <x:c r="G41" s="77"/>
      <x:c r="H41" s="24">
        <x:v>4</x:v>
      </x:c>
      <x:c r="I41" s="23">
        <x:v>5500</x:v>
      </x:c>
      <x:c r="J41" s="78">
        <x:f>H41*I41</x:f>
        <x:v>22000</x:v>
      </x:c>
      <x:c r="K41" s="79"/>
      <x:c r="L41" s="80"/>
      <x:c r="M41" s="81">
        <x:f>J41*0.1</x:f>
        <x:v>2200</x:v>
      </x:c>
      <x:c r="N41" s="82"/>
      <x:c r="O41" s="30"/>
    </x:row>
    <x:row r="42" spans="2:17" ht="18.75" customHeight="1">
      <x:c r="B42" s="21">
        <x:f>B41+1</x:f>
        <x:v>24</x:v>
      </x:c>
      <x:c r="C42" s="75" t="s">
        <x:v>120</x:v>
      </x:c>
      <x:c r="D42" s="75"/>
      <x:c r="E42" s="75"/>
      <x:c r="F42" s="76" t="s">
        <x:v>135</x:v>
      </x:c>
      <x:c r="G42" s="77"/>
      <x:c r="H42" s="22">
        <x:v>20</x:v>
      </x:c>
      <x:c r="I42" s="26">
        <x:v>5500</x:v>
      </x:c>
      <x:c r="J42" s="78">
        <x:f t="shared" ref="J42:J75" si="2">H42*I42</x:f>
        <x:v>110000</x:v>
      </x:c>
      <x:c r="K42" s="79"/>
      <x:c r="L42" s="80"/>
      <x:c r="M42" s="81">
        <x:f t="shared" ref="M42:M76" si="3">J42*0.1</x:f>
        <x:v>11000</x:v>
      </x:c>
      <x:c r="N42" s="82"/>
      <x:c r="O42" s="30"/>
      <x:c r="Q42" s="8"/>
    </x:row>
    <x:row r="43" spans="2:15" ht="18.75" customHeight="1">
      <x:c r="B43" s="21">
        <x:f t="shared" ref="B43:B80" si="4">B42+1</x:f>
        <x:v>25</x:v>
      </x:c>
      <x:c r="C43" s="76" t="s">
        <x:v>149</x:v>
      </x:c>
      <x:c r="D43" s="83"/>
      <x:c r="E43" s="77"/>
      <x:c r="F43" s="76"/>
      <x:c r="G43" s="77"/>
      <x:c r="H43" s="24">
        <x:v>200</x:v>
      </x:c>
      <x:c r="I43" s="23">
        <x:v>5000</x:v>
      </x:c>
      <x:c r="J43" s="78">
        <x:f t="shared" si="2"/>
        <x:v>1000000</x:v>
      </x:c>
      <x:c r="K43" s="79"/>
      <x:c r="L43" s="80"/>
      <x:c r="M43" s="81">
        <x:f t="shared" si="3"/>
        <x:v>100000</x:v>
      </x:c>
      <x:c r="N43" s="82"/>
      <x:c r="O43" s="30"/>
    </x:row>
    <x:row r="44" spans="2:15" ht="18.75" customHeight="1">
      <x:c r="B44" s="21">
        <x:f t="shared" si="4"/>
        <x:v>26</x:v>
      </x:c>
      <x:c r="C44" s="76" t="s">
        <x:v>148</x:v>
      </x:c>
      <x:c r="D44" s="83"/>
      <x:c r="E44" s="77"/>
      <x:c r="F44" s="76" t="s">
        <x:v>23</x:v>
      </x:c>
      <x:c r="G44" s="77"/>
      <x:c r="H44" s="22">
        <x:v>20</x:v>
      </x:c>
      <x:c r="I44" s="26">
        <x:v>5700</x:v>
      </x:c>
      <x:c r="J44" s="78">
        <x:f t="shared" si="2"/>
        <x:v>114000</x:v>
      </x:c>
      <x:c r="K44" s="79"/>
      <x:c r="L44" s="80"/>
      <x:c r="M44" s="81">
        <x:f t="shared" si="3"/>
        <x:v>11400</x:v>
      </x:c>
      <x:c r="N44" s="82"/>
      <x:c r="O44" s="30"/>
    </x:row>
    <x:row r="45" spans="2:15" ht="18.75" customHeight="1">
      <x:c r="B45" s="21">
        <x:f t="shared" si="4"/>
        <x:v>27</x:v>
      </x:c>
      <x:c r="C45" s="76" t="s">
        <x:v>131</x:v>
      </x:c>
      <x:c r="D45" s="83"/>
      <x:c r="E45" s="77"/>
      <x:c r="F45" s="76" t="s">
        <x:v>61</x:v>
      </x:c>
      <x:c r="G45" s="77"/>
      <x:c r="H45" s="22">
        <x:v>20</x:v>
      </x:c>
      <x:c r="I45" s="26">
        <x:v>5200</x:v>
      </x:c>
      <x:c r="J45" s="78">
        <x:f t="shared" si="2"/>
        <x:v>104000</x:v>
      </x:c>
      <x:c r="K45" s="79"/>
      <x:c r="L45" s="80"/>
      <x:c r="M45" s="81">
        <x:f t="shared" si="3"/>
        <x:v>10400</x:v>
      </x:c>
      <x:c r="N45" s="82"/>
      <x:c r="O45" s="30"/>
    </x:row>
    <x:row r="46" spans="2:15" ht="18.75" customHeight="1">
      <x:c r="B46" s="21">
        <x:f t="shared" si="4"/>
        <x:v>28</x:v>
      </x:c>
      <x:c r="C46" s="76" t="s">
        <x:v>141</x:v>
      </x:c>
      <x:c r="D46" s="83"/>
      <x:c r="E46" s="77"/>
      <x:c r="F46" s="76" t="s">
        <x:v>70</x:v>
      </x:c>
      <x:c r="G46" s="77"/>
      <x:c r="H46" s="22">
        <x:v>100</x:v>
      </x:c>
      <x:c r="I46" s="26">
        <x:v>5300</x:v>
      </x:c>
      <x:c r="J46" s="78">
        <x:f t="shared" si="2"/>
        <x:v>530000</x:v>
      </x:c>
      <x:c r="K46" s="79"/>
      <x:c r="L46" s="80"/>
      <x:c r="M46" s="81">
        <x:f t="shared" si="3"/>
        <x:v>53000</x:v>
      </x:c>
      <x:c r="N46" s="82"/>
      <x:c r="O46" s="32"/>
    </x:row>
    <x:row r="47" spans="2:15" ht="18.75" customHeight="1">
      <x:c r="B47" s="21">
        <x:f t="shared" si="4"/>
        <x:v>29</x:v>
      </x:c>
      <x:c r="C47" s="75" t="s">
        <x:v>131</x:v>
      </x:c>
      <x:c r="D47" s="75"/>
      <x:c r="E47" s="75"/>
      <x:c r="F47" s="76" t="s">
        <x:v>59</x:v>
      </x:c>
      <x:c r="G47" s="77"/>
      <x:c r="H47" s="22">
        <x:v>20</x:v>
      </x:c>
      <x:c r="I47" s="26">
        <x:v>8500</x:v>
      </x:c>
      <x:c r="J47" s="78">
        <x:f t="shared" si="2"/>
        <x:v>170000</x:v>
      </x:c>
      <x:c r="K47" s="79"/>
      <x:c r="L47" s="80"/>
      <x:c r="M47" s="81">
        <x:f t="shared" si="3"/>
        <x:v>17000</x:v>
      </x:c>
      <x:c r="N47" s="82"/>
      <x:c r="O47" s="30"/>
    </x:row>
    <x:row r="48" spans="2:15" ht="18.75" customHeight="1">
      <x:c r="B48" s="21">
        <x:f t="shared" si="4"/>
        <x:v>30</x:v>
      </x:c>
      <x:c r="C48" s="75" t="s">
        <x:v>147</x:v>
      </x:c>
      <x:c r="D48" s="75"/>
      <x:c r="E48" s="75"/>
      <x:c r="F48" s="76" t="s">
        <x:v>31</x:v>
      </x:c>
      <x:c r="G48" s="77"/>
      <x:c r="H48" s="22">
        <x:v>6</x:v>
      </x:c>
      <x:c r="I48" s="26">
        <x:v>29000</x:v>
      </x:c>
      <x:c r="J48" s="78">
        <x:f t="shared" si="2"/>
        <x:v>174000</x:v>
      </x:c>
      <x:c r="K48" s="79"/>
      <x:c r="L48" s="80"/>
      <x:c r="M48" s="81">
        <x:f t="shared" si="3"/>
        <x:v>17400</x:v>
      </x:c>
      <x:c r="N48" s="82"/>
      <x:c r="O48" s="30"/>
    </x:row>
    <x:row r="49" spans="2:15" ht="18.75" customHeight="1">
      <x:c r="B49" s="21">
        <x:f t="shared" si="4"/>
        <x:v>31</x:v>
      </x:c>
      <x:c r="C49" s="75" t="s">
        <x:v>72</x:v>
      </x:c>
      <x:c r="D49" s="75"/>
      <x:c r="E49" s="75"/>
      <x:c r="F49" s="76" t="s">
        <x:v>129</x:v>
      </x:c>
      <x:c r="G49" s="77"/>
      <x:c r="H49" s="22">
        <x:v>2</x:v>
      </x:c>
      <x:c r="I49" s="26">
        <x:v>35500</x:v>
      </x:c>
      <x:c r="J49" s="78">
        <x:f t="shared" si="2"/>
        <x:v>71000</x:v>
      </x:c>
      <x:c r="K49" s="79"/>
      <x:c r="L49" s="80"/>
      <x:c r="M49" s="81">
        <x:f t="shared" si="3"/>
        <x:v>7100</x:v>
      </x:c>
      <x:c r="N49" s="82"/>
      <x:c r="O49" s="30"/>
    </x:row>
    <x:row r="50" spans="2:15" ht="18.949999999999999" customHeight="1">
      <x:c r="B50" s="21">
        <x:f t="shared" si="4"/>
        <x:v>32</x:v>
      </x:c>
      <x:c r="C50" s="75" t="s">
        <x:v>130</x:v>
      </x:c>
      <x:c r="D50" s="75"/>
      <x:c r="E50" s="75"/>
      <x:c r="F50" s="76" t="s">
        <x:v>58</x:v>
      </x:c>
      <x:c r="G50" s="77"/>
      <x:c r="H50" s="22">
        <x:v>1</x:v>
      </x:c>
      <x:c r="I50" s="26">
        <x:v>45000</x:v>
      </x:c>
      <x:c r="J50" s="78">
        <x:f t="shared" si="2"/>
        <x:v>45000</x:v>
      </x:c>
      <x:c r="K50" s="79"/>
      <x:c r="L50" s="80"/>
      <x:c r="M50" s="81">
        <x:f t="shared" si="3"/>
        <x:v>4500</x:v>
      </x:c>
      <x:c r="N50" s="82"/>
      <x:c r="O50" s="30"/>
    </x:row>
    <x:row r="51" spans="2:15" ht="18.949999999999999" customHeight="1">
      <x:c r="B51" s="21">
        <x:f t="shared" si="4"/>
        <x:v>33</x:v>
      </x:c>
      <x:c r="C51" s="75" t="s">
        <x:v>62</x:v>
      </x:c>
      <x:c r="D51" s="75"/>
      <x:c r="E51" s="75"/>
      <x:c r="F51" s="75"/>
      <x:c r="G51" s="75"/>
      <x:c r="H51" s="22">
        <x:v>8</x:v>
      </x:c>
      <x:c r="I51" s="26">
        <x:v>96000</x:v>
      </x:c>
      <x:c r="J51" s="84">
        <x:f t="shared" si="2"/>
        <x:v>768000</x:v>
      </x:c>
      <x:c r="K51" s="84"/>
      <x:c r="L51" s="84"/>
      <x:c r="M51" s="85">
        <x:f t="shared" si="3"/>
        <x:v>76800</x:v>
      </x:c>
      <x:c r="N51" s="85"/>
      <x:c r="O51" s="97"/>
    </x:row>
    <x:row r="52" spans="2:15" ht="18.949999999999999" customHeight="1">
      <x:c r="B52" s="21">
        <x:f t="shared" si="4"/>
        <x:v>34</x:v>
      </x:c>
      <x:c r="C52" s="75" t="s">
        <x:v>74</x:v>
      </x:c>
      <x:c r="D52" s="75"/>
      <x:c r="E52" s="75"/>
      <x:c r="F52" s="75" t="s">
        <x:v>143</x:v>
      </x:c>
      <x:c r="G52" s="75"/>
      <x:c r="H52" s="22">
        <x:v>300</x:v>
      </x:c>
      <x:c r="I52" s="26">
        <x:v>4500</x:v>
      </x:c>
      <x:c r="J52" s="84">
        <x:f t="shared" si="2"/>
        <x:v>1350000</x:v>
      </x:c>
      <x:c r="K52" s="84"/>
      <x:c r="L52" s="84"/>
      <x:c r="M52" s="85">
        <x:f t="shared" si="3"/>
        <x:v>135000</x:v>
      </x:c>
      <x:c r="N52" s="85"/>
      <x:c r="O52" s="97"/>
    </x:row>
    <x:row r="53" spans="2:15" ht="18.949999999999999" customHeight="1">
      <x:c r="B53" s="21">
        <x:f t="shared" si="4"/>
        <x:v>35</x:v>
      </x:c>
      <x:c r="C53" s="75" t="s">
        <x:v>128</x:v>
      </x:c>
      <x:c r="D53" s="75"/>
      <x:c r="E53" s="75"/>
      <x:c r="F53" s="75" t="s">
        <x:v>137</x:v>
      </x:c>
      <x:c r="G53" s="75"/>
      <x:c r="H53" s="22">
        <x:v>300</x:v>
      </x:c>
      <x:c r="I53" s="26">
        <x:v>6350</x:v>
      </x:c>
      <x:c r="J53" s="84">
        <x:f t="shared" si="2"/>
        <x:v>1905000</x:v>
      </x:c>
      <x:c r="K53" s="84"/>
      <x:c r="L53" s="84"/>
      <x:c r="M53" s="85">
        <x:f t="shared" si="3"/>
        <x:v>190500</x:v>
      </x:c>
      <x:c r="N53" s="85"/>
      <x:c r="O53" s="97"/>
    </x:row>
    <x:row r="54" spans="2:15" ht="18.949999999999999" customHeight="1">
      <x:c r="B54" s="21">
        <x:f t="shared" si="4"/>
        <x:v>36</x:v>
      </x:c>
      <x:c r="C54" s="75" t="s">
        <x:v>71</x:v>
      </x:c>
      <x:c r="D54" s="75"/>
      <x:c r="E54" s="75"/>
      <x:c r="F54" s="75" t="s">
        <x:v>142</x:v>
      </x:c>
      <x:c r="G54" s="75"/>
      <x:c r="H54" s="22">
        <x:v>300</x:v>
      </x:c>
      <x:c r="I54" s="26">
        <x:v>3800</x:v>
      </x:c>
      <x:c r="J54" s="84">
        <x:f t="shared" si="2"/>
        <x:v>1140000</x:v>
      </x:c>
      <x:c r="K54" s="84"/>
      <x:c r="L54" s="84"/>
      <x:c r="M54" s="85">
        <x:f t="shared" si="3"/>
        <x:v>114000</x:v>
      </x:c>
      <x:c r="N54" s="85"/>
      <x:c r="O54" s="98"/>
    </x:row>
    <x:row r="55" spans="2:15" ht="18.949999999999999" customHeight="1">
      <x:c r="B55" s="21">
        <x:f t="shared" si="4"/>
        <x:v>37</x:v>
      </x:c>
      <x:c r="C55" s="89" t="s">
        <x:v>64</x:v>
      </x:c>
      <x:c r="D55" s="89"/>
      <x:c r="E55" s="89"/>
      <x:c r="F55" s="89"/>
      <x:c r="G55" s="89"/>
      <x:c r="H55" s="90">
        <x:v>100</x:v>
      </x:c>
      <x:c r="I55" s="91">
        <x:v>11500</x:v>
      </x:c>
      <x:c r="J55" s="99">
        <x:f t="shared" si="2"/>
        <x:v>1150000</x:v>
      </x:c>
      <x:c r="K55" s="99"/>
      <x:c r="L55" s="99"/>
      <x:c r="M55" s="100">
        <x:f t="shared" si="3"/>
        <x:v>115000</x:v>
      </x:c>
      <x:c r="N55" s="100"/>
      <x:c r="O55" s="97"/>
    </x:row>
    <x:row r="56" spans="2:15" ht="18.949999999999999" customHeight="1">
      <x:c r="B56" s="21">
        <x:f t="shared" si="4"/>
        <x:v>38</x:v>
      </x:c>
      <x:c r="C56" s="75" t="s">
        <x:v>79</x:v>
      </x:c>
      <x:c r="D56" s="75"/>
      <x:c r="E56" s="75"/>
      <x:c r="F56" s="75" t="s">
        <x:v>134</x:v>
      </x:c>
      <x:c r="G56" s="75"/>
      <x:c r="H56" s="22">
        <x:v>150</x:v>
      </x:c>
      <x:c r="I56" s="26">
        <x:v>6100</x:v>
      </x:c>
      <x:c r="J56" s="84">
        <x:f t="shared" si="2"/>
        <x:v>915000</x:v>
      </x:c>
      <x:c r="K56" s="84"/>
      <x:c r="L56" s="84"/>
      <x:c r="M56" s="85">
        <x:f t="shared" si="3"/>
        <x:v>91500</x:v>
      </x:c>
      <x:c r="N56" s="85"/>
      <x:c r="O56" s="97"/>
    </x:row>
    <x:row r="57" spans="2:15" ht="18.949999999999999" customHeight="1">
      <x:c r="B57" s="21">
        <x:f t="shared" si="4"/>
        <x:v>39</x:v>
      </x:c>
      <x:c r="C57" s="75" t="s">
        <x:v>138</x:v>
      </x:c>
      <x:c r="D57" s="75"/>
      <x:c r="E57" s="75"/>
      <x:c r="F57" s="75" t="s">
        <x:v>15</x:v>
      </x:c>
      <x:c r="G57" s="75"/>
      <x:c r="H57" s="22">
        <x:v>10</x:v>
      </x:c>
      <x:c r="I57" s="26">
        <x:v>4000</x:v>
      </x:c>
      <x:c r="J57" s="84">
        <x:f t="shared" si="2"/>
        <x:v>40000</x:v>
      </x:c>
      <x:c r="K57" s="84"/>
      <x:c r="L57" s="84"/>
      <x:c r="M57" s="85">
        <x:f t="shared" si="3"/>
        <x:v>4000</x:v>
      </x:c>
      <x:c r="N57" s="85"/>
      <x:c r="O57" s="98"/>
    </x:row>
    <x:row r="58" spans="2:15" ht="18.949999999999999" customHeight="1">
      <x:c r="B58" s="21">
        <x:f t="shared" si="4"/>
        <x:v>40</x:v>
      </x:c>
      <x:c r="C58" s="75" t="s">
        <x:v>78</x:v>
      </x:c>
      <x:c r="D58" s="75"/>
      <x:c r="E58" s="75"/>
      <x:c r="F58" s="75" t="s">
        <x:v>18</x:v>
      </x:c>
      <x:c r="G58" s="75"/>
      <x:c r="H58" s="22">
        <x:v>5</x:v>
      </x:c>
      <x:c r="I58" s="26">
        <x:v>8000</x:v>
      </x:c>
      <x:c r="J58" s="84">
        <x:f t="shared" si="2"/>
        <x:v>40000</x:v>
      </x:c>
      <x:c r="K58" s="84"/>
      <x:c r="L58" s="84"/>
      <x:c r="M58" s="85">
        <x:f t="shared" si="3"/>
        <x:v>4000</x:v>
      </x:c>
      <x:c r="N58" s="85"/>
      <x:c r="O58" s="97"/>
    </x:row>
    <x:row r="59" spans="2:15" ht="18.949999999999999" customHeight="1">
      <x:c r="B59" s="21">
        <x:f t="shared" si="4"/>
        <x:v>41</x:v>
      </x:c>
      <x:c r="C59" s="75" t="s">
        <x:v>136</x:v>
      </x:c>
      <x:c r="D59" s="75"/>
      <x:c r="E59" s="75"/>
      <x:c r="F59" s="75" t="s">
        <x:v>26</x:v>
      </x:c>
      <x:c r="G59" s="75"/>
      <x:c r="H59" s="22">
        <x:v>2</x:v>
      </x:c>
      <x:c r="I59" s="26">
        <x:v>15000</x:v>
      </x:c>
      <x:c r="J59" s="84">
        <x:f t="shared" si="2"/>
        <x:v>30000</x:v>
      </x:c>
      <x:c r="K59" s="84"/>
      <x:c r="L59" s="84"/>
      <x:c r="M59" s="85">
        <x:f t="shared" si="3"/>
        <x:v>3000</x:v>
      </x:c>
      <x:c r="N59" s="85"/>
      <x:c r="O59" s="97"/>
    </x:row>
    <x:row r="60" spans="2:15" ht="18.949999999999999" customHeight="1">
      <x:c r="B60" s="21">
        <x:f t="shared" si="4"/>
        <x:v>42</x:v>
      </x:c>
      <x:c r="C60" s="75" t="s">
        <x:v>24</x:v>
      </x:c>
      <x:c r="D60" s="75"/>
      <x:c r="E60" s="75"/>
      <x:c r="F60" s="75" t="s">
        <x:v>16</x:v>
      </x:c>
      <x:c r="G60" s="75"/>
      <x:c r="H60" s="22">
        <x:v>2</x:v>
      </x:c>
      <x:c r="I60" s="26">
        <x:v>23000</x:v>
      </x:c>
      <x:c r="J60" s="84">
        <x:f t="shared" si="2"/>
        <x:v>46000</x:v>
      </x:c>
      <x:c r="K60" s="84"/>
      <x:c r="L60" s="84"/>
      <x:c r="M60" s="85">
        <x:f t="shared" si="3"/>
        <x:v>4600</x:v>
      </x:c>
      <x:c r="N60" s="85"/>
      <x:c r="O60" s="97"/>
    </x:row>
    <x:row r="61" spans="2:15" ht="18.949999999999999" customHeight="1">
      <x:c r="B61" s="21">
        <x:f t="shared" si="4"/>
        <x:v>43</x:v>
      </x:c>
      <x:c r="C61" s="75" t="s">
        <x:v>88</x:v>
      </x:c>
      <x:c r="D61" s="75"/>
      <x:c r="E61" s="75"/>
      <x:c r="F61" s="75" t="s">
        <x:v>63</x:v>
      </x:c>
      <x:c r="G61" s="75"/>
      <x:c r="H61" s="22">
        <x:v>20</x:v>
      </x:c>
      <x:c r="I61" s="26">
        <x:v>13000</x:v>
      </x:c>
      <x:c r="J61" s="84">
        <x:f t="shared" si="2"/>
        <x:v>260000</x:v>
      </x:c>
      <x:c r="K61" s="84"/>
      <x:c r="L61" s="84"/>
      <x:c r="M61" s="85">
        <x:f t="shared" si="3"/>
        <x:v>26000</x:v>
      </x:c>
      <x:c r="N61" s="85"/>
      <x:c r="O61" s="101"/>
    </x:row>
    <x:row r="62" spans="2:15" ht="18.949999999999999" customHeight="1">
      <x:c r="B62" s="21">
        <x:f t="shared" si="4"/>
        <x:v>44</x:v>
      </x:c>
      <x:c r="C62" s="75" t="s">
        <x:v>83</x:v>
      </x:c>
      <x:c r="D62" s="75"/>
      <x:c r="E62" s="75"/>
      <x:c r="F62" s="75" t="s">
        <x:v>29</x:v>
      </x:c>
      <x:c r="G62" s="75"/>
      <x:c r="H62" s="22">
        <x:v>8</x:v>
      </x:c>
      <x:c r="I62" s="26">
        <x:v>3000</x:v>
      </x:c>
      <x:c r="J62" s="84">
        <x:f t="shared" si="2"/>
        <x:v>24000</x:v>
      </x:c>
      <x:c r="K62" s="84"/>
      <x:c r="L62" s="84"/>
      <x:c r="M62" s="85">
        <x:f t="shared" si="3"/>
        <x:v>2400</x:v>
      </x:c>
      <x:c r="N62" s="85"/>
      <x:c r="O62" s="101"/>
    </x:row>
    <x:row r="63" spans="2:15" ht="18.949999999999999" customHeight="1">
      <x:c r="B63" s="21">
        <x:f t="shared" si="4"/>
        <x:v>45</x:v>
      </x:c>
      <x:c r="C63" s="75" t="s">
        <x:v>87</x:v>
      </x:c>
      <x:c r="D63" s="75"/>
      <x:c r="E63" s="75"/>
      <x:c r="F63" s="75" t="s">
        <x:v>18</x:v>
      </x:c>
      <x:c r="G63" s="75"/>
      <x:c r="H63" s="22">
        <x:v>2</x:v>
      </x:c>
      <x:c r="I63" s="26">
        <x:v>1500</x:v>
      </x:c>
      <x:c r="J63" s="84">
        <x:f t="shared" si="2"/>
        <x:v>3000</x:v>
      </x:c>
      <x:c r="K63" s="84"/>
      <x:c r="L63" s="84"/>
      <x:c r="M63" s="85">
        <x:f t="shared" si="3"/>
        <x:v>300</x:v>
      </x:c>
      <x:c r="N63" s="85"/>
      <x:c r="O63" s="101"/>
    </x:row>
    <x:row r="64" spans="2:15" ht="18.949999999999999" customHeight="1">
      <x:c r="B64" s="21">
        <x:f t="shared" si="4"/>
        <x:v>46</x:v>
      </x:c>
      <x:c r="C64" s="75" t="s">
        <x:v>85</x:v>
      </x:c>
      <x:c r="D64" s="75"/>
      <x:c r="E64" s="75"/>
      <x:c r="F64" s="75" t="s">
        <x:v>13</x:v>
      </x:c>
      <x:c r="G64" s="75"/>
      <x:c r="H64" s="22">
        <x:v>3</x:v>
      </x:c>
      <x:c r="I64" s="26">
        <x:v>1500</x:v>
      </x:c>
      <x:c r="J64" s="84">
        <x:f t="shared" si="2"/>
        <x:v>4500</x:v>
      </x:c>
      <x:c r="K64" s="84"/>
      <x:c r="L64" s="84"/>
      <x:c r="M64" s="85">
        <x:f t="shared" si="3"/>
        <x:v>450</x:v>
      </x:c>
      <x:c r="N64" s="85"/>
      <x:c r="O64" s="101"/>
    </x:row>
    <x:row r="65" spans="2:17" ht="18.949999999999999" customHeight="1">
      <x:c r="B65" s="21">
        <x:f t="shared" si="4"/>
        <x:v>47</x:v>
      </x:c>
      <x:c r="C65" s="75" t="s">
        <x:v>25</x:v>
      </x:c>
      <x:c r="D65" s="75"/>
      <x:c r="E65" s="75"/>
      <x:c r="F65" s="75"/>
      <x:c r="G65" s="75"/>
      <x:c r="H65" s="22">
        <x:v>1</x:v>
      </x:c>
      <x:c r="I65" s="26">
        <x:v>18000</x:v>
      </x:c>
      <x:c r="J65" s="84">
        <x:f t="shared" si="2"/>
        <x:v>18000</x:v>
      </x:c>
      <x:c r="K65" s="84"/>
      <x:c r="L65" s="84"/>
      <x:c r="M65" s="85">
        <x:f t="shared" si="3"/>
        <x:v>1800</x:v>
      </x:c>
      <x:c r="N65" s="85"/>
      <x:c r="O65" s="101"/>
      <x:c r="Q65" s="25"/>
    </x:row>
    <x:row r="66" spans="2:17" ht="18.949999999999999" customHeight="1">
      <x:c r="B66" s="21">
        <x:f t="shared" si="4"/>
        <x:v>48</x:v>
      </x:c>
      <x:c r="C66" s="75" t="s">
        <x:v>81</x:v>
      </x:c>
      <x:c r="D66" s="75"/>
      <x:c r="E66" s="75"/>
      <x:c r="F66" s="75"/>
      <x:c r="G66" s="75"/>
      <x:c r="H66" s="22">
        <x:v>80</x:v>
      </x:c>
      <x:c r="I66" s="26">
        <x:v>9500</x:v>
      </x:c>
      <x:c r="J66" s="84">
        <x:f t="shared" si="2"/>
        <x:v>760000</x:v>
      </x:c>
      <x:c r="K66" s="84"/>
      <x:c r="L66" s="84"/>
      <x:c r="M66" s="85">
        <x:f t="shared" si="3"/>
        <x:v>76000</x:v>
      </x:c>
      <x:c r="N66" s="85"/>
      <x:c r="O66" s="101"/>
      <x:c r="Q66" s="25"/>
    </x:row>
    <x:row r="67" spans="2:17" ht="18.949999999999999" customHeight="1">
      <x:c r="B67" s="21">
        <x:f t="shared" si="4"/>
        <x:v>49</x:v>
      </x:c>
      <x:c r="C67" s="75" t="s">
        <x:v>80</x:v>
      </x:c>
      <x:c r="D67" s="75"/>
      <x:c r="E67" s="75"/>
      <x:c r="F67" s="75"/>
      <x:c r="G67" s="75"/>
      <x:c r="H67" s="22">
        <x:v>1</x:v>
      </x:c>
      <x:c r="I67" s="23">
        <x:v>85000</x:v>
      </x:c>
      <x:c r="J67" s="84">
        <x:f t="shared" si="2"/>
        <x:v>85000</x:v>
      </x:c>
      <x:c r="K67" s="84"/>
      <x:c r="L67" s="84"/>
      <x:c r="M67" s="85">
        <x:f t="shared" si="3"/>
        <x:v>8500</x:v>
      </x:c>
      <x:c r="N67" s="85"/>
      <x:c r="O67" s="101"/>
      <x:c r="Q67" s="25"/>
    </x:row>
    <x:row r="68" spans="2:15" ht="18.949999999999999" customHeight="1">
      <x:c r="B68" s="21">
        <x:f t="shared" si="4"/>
        <x:v>50</x:v>
      </x:c>
      <x:c r="C68" s="75" t="s">
        <x:v>82</x:v>
      </x:c>
      <x:c r="D68" s="75"/>
      <x:c r="E68" s="75"/>
      <x:c r="F68" s="75" t="s">
        <x:v>132</x:v>
      </x:c>
      <x:c r="G68" s="75"/>
      <x:c r="H68" s="22">
        <x:v>2</x:v>
      </x:c>
      <x:c r="I68" s="23">
        <x:v>30000</x:v>
      </x:c>
      <x:c r="J68" s="84">
        <x:f t="shared" si="2"/>
        <x:v>60000</x:v>
      </x:c>
      <x:c r="K68" s="84"/>
      <x:c r="L68" s="84"/>
      <x:c r="M68" s="85">
        <x:f t="shared" si="3"/>
        <x:v>6000</x:v>
      </x:c>
      <x:c r="N68" s="85"/>
      <x:c r="O68" s="101"/>
    </x:row>
    <x:row r="69" spans="2:15" ht="18.949999999999999" customHeight="1">
      <x:c r="B69" s="21">
        <x:f t="shared" si="4"/>
        <x:v>51</x:v>
      </x:c>
      <x:c r="C69" s="75" t="s">
        <x:v>92</x:v>
      </x:c>
      <x:c r="D69" s="75"/>
      <x:c r="E69" s="75"/>
      <x:c r="F69" s="75" t="s">
        <x:v>33</x:v>
      </x:c>
      <x:c r="G69" s="75"/>
      <x:c r="H69" s="22">
        <x:v>4</x:v>
      </x:c>
      <x:c r="I69" s="23">
        <x:v>15000</x:v>
      </x:c>
      <x:c r="J69" s="84">
        <x:f t="shared" si="2"/>
        <x:v>60000</x:v>
      </x:c>
      <x:c r="K69" s="84"/>
      <x:c r="L69" s="84"/>
      <x:c r="M69" s="85">
        <x:f t="shared" si="3"/>
        <x:v>6000</x:v>
      </x:c>
      <x:c r="N69" s="85"/>
      <x:c r="O69" s="101"/>
    </x:row>
    <x:row r="70" spans="2:15" ht="18.949999999999999" customHeight="1">
      <x:c r="B70" s="21">
        <x:f t="shared" si="4"/>
        <x:v>52</x:v>
      </x:c>
      <x:c r="C70" s="75" t="s">
        <x:v>94</x:v>
      </x:c>
      <x:c r="D70" s="75"/>
      <x:c r="E70" s="75"/>
      <x:c r="F70" s="75" t="s">
        <x:v>112</x:v>
      </x:c>
      <x:c r="G70" s="75"/>
      <x:c r="H70" s="22">
        <x:v>4</x:v>
      </x:c>
      <x:c r="I70" s="23">
        <x:v>12000</x:v>
      </x:c>
      <x:c r="J70" s="84">
        <x:f t="shared" si="2"/>
        <x:v>48000</x:v>
      </x:c>
      <x:c r="K70" s="84"/>
      <x:c r="L70" s="84"/>
      <x:c r="M70" s="85">
        <x:f t="shared" si="3"/>
        <x:v>4800</x:v>
      </x:c>
      <x:c r="N70" s="85"/>
      <x:c r="O70" s="101"/>
    </x:row>
    <x:row r="71" spans="2:15" ht="18.949999999999999" customHeight="1">
      <x:c r="B71" s="21">
        <x:f t="shared" si="4"/>
        <x:v>53</x:v>
      </x:c>
      <x:c r="C71" s="75" t="s">
        <x:v>95</x:v>
      </x:c>
      <x:c r="D71" s="75"/>
      <x:c r="E71" s="75"/>
      <x:c r="F71" s="75" t="s">
        <x:v>28</x:v>
      </x:c>
      <x:c r="G71" s="75"/>
      <x:c r="H71" s="22">
        <x:v>2</x:v>
      </x:c>
      <x:c r="I71" s="23">
        <x:v>3000</x:v>
      </x:c>
      <x:c r="J71" s="84">
        <x:f t="shared" si="2"/>
        <x:v>6000</x:v>
      </x:c>
      <x:c r="K71" s="84"/>
      <x:c r="L71" s="84"/>
      <x:c r="M71" s="85">
        <x:f t="shared" si="3"/>
        <x:v>600</x:v>
      </x:c>
      <x:c r="N71" s="85"/>
      <x:c r="O71" s="101"/>
    </x:row>
    <x:row r="72" spans="2:15" ht="18" customHeight="1">
      <x:c r="B72" s="21">
        <x:f t="shared" si="4"/>
        <x:v>54</x:v>
      </x:c>
      <x:c r="C72" s="75" t="s">
        <x:v>116</x:v>
      </x:c>
      <x:c r="D72" s="75"/>
      <x:c r="E72" s="75"/>
      <x:c r="F72" s="75" t="s">
        <x:v>36</x:v>
      </x:c>
      <x:c r="G72" s="75"/>
      <x:c r="H72" s="22">
        <x:v>2</x:v>
      </x:c>
      <x:c r="I72" s="23">
        <x:v>1000</x:v>
      </x:c>
      <x:c r="J72" s="84">
        <x:f t="shared" si="2"/>
        <x:v>2000</x:v>
      </x:c>
      <x:c r="K72" s="84"/>
      <x:c r="L72" s="84"/>
      <x:c r="M72" s="85">
        <x:f t="shared" si="3"/>
        <x:v>200</x:v>
      </x:c>
      <x:c r="N72" s="85"/>
      <x:c r="O72" s="101"/>
    </x:row>
    <x:row r="73" spans="2:15" ht="18" customHeight="1">
      <x:c r="B73" s="21">
        <x:f t="shared" si="4"/>
        <x:v>55</x:v>
      </x:c>
      <x:c r="C73" s="75" t="s">
        <x:v>96</x:v>
      </x:c>
      <x:c r="D73" s="75"/>
      <x:c r="E73" s="75"/>
      <x:c r="F73" s="75" t="s">
        <x:v>31</x:v>
      </x:c>
      <x:c r="G73" s="75"/>
      <x:c r="H73" s="22">
        <x:v>5</x:v>
      </x:c>
      <x:c r="I73" s="26">
        <x:v>10000</x:v>
      </x:c>
      <x:c r="J73" s="84">
        <x:f t="shared" si="2"/>
        <x:v>50000</x:v>
      </x:c>
      <x:c r="K73" s="84"/>
      <x:c r="L73" s="84"/>
      <x:c r="M73" s="85">
        <x:f t="shared" si="3"/>
        <x:v>5000</x:v>
      </x:c>
      <x:c r="N73" s="85"/>
      <x:c r="O73" s="101"/>
    </x:row>
    <x:row r="74" spans="2:15" ht="18" customHeight="1">
      <x:c r="B74" s="21">
        <x:f t="shared" si="4"/>
        <x:v>56</x:v>
      </x:c>
      <x:c r="C74" s="75" t="s">
        <x:v>102</x:v>
      </x:c>
      <x:c r="D74" s="75"/>
      <x:c r="E74" s="75"/>
      <x:c r="F74" s="75"/>
      <x:c r="G74" s="75"/>
      <x:c r="H74" s="22">
        <x:v>1</x:v>
      </x:c>
      <x:c r="I74" s="23">
        <x:v>20000</x:v>
      </x:c>
      <x:c r="J74" s="84">
        <x:f t="shared" si="2"/>
        <x:v>20000</x:v>
      </x:c>
      <x:c r="K74" s="84"/>
      <x:c r="L74" s="84"/>
      <x:c r="M74" s="85">
        <x:f t="shared" si="3"/>
        <x:v>2000</x:v>
      </x:c>
      <x:c r="N74" s="85"/>
      <x:c r="O74" s="101"/>
    </x:row>
    <x:row r="75" spans="2:15" ht="18" customHeight="1">
      <x:c r="B75" s="21">
        <x:f t="shared" si="4"/>
        <x:v>57</x:v>
      </x:c>
      <x:c r="C75" s="75" t="s">
        <x:v>86</x:v>
      </x:c>
      <x:c r="D75" s="75"/>
      <x:c r="E75" s="75"/>
      <x:c r="F75" s="75"/>
      <x:c r="G75" s="75"/>
      <x:c r="H75" s="22">
        <x:v>1</x:v>
      </x:c>
      <x:c r="I75" s="23">
        <x:v>18000</x:v>
      </x:c>
      <x:c r="J75" s="84">
        <x:f t="shared" si="2"/>
        <x:v>18000</x:v>
      </x:c>
      <x:c r="K75" s="84"/>
      <x:c r="L75" s="84"/>
      <x:c r="M75" s="85">
        <x:f t="shared" si="3"/>
        <x:v>1800</x:v>
      </x:c>
      <x:c r="N75" s="85"/>
      <x:c r="O75" s="101"/>
    </x:row>
    <x:row r="76" spans="2:15" ht="18" customHeight="1">
      <x:c r="B76" s="21">
        <x:f t="shared" si="4"/>
        <x:v>58</x:v>
      </x:c>
      <x:c r="C76" s="75" t="s">
        <x:v>89</x:v>
      </x:c>
      <x:c r="D76" s="75"/>
      <x:c r="E76" s="75"/>
      <x:c r="F76" s="75" t="s">
        <x:v>36</x:v>
      </x:c>
      <x:c r="G76" s="75"/>
      <x:c r="H76" s="22">
        <x:v>2</x:v>
      </x:c>
      <x:c r="I76" s="23">
        <x:v>2500</x:v>
      </x:c>
      <x:c r="J76" s="84">
        <x:f>H76*I76</x:f>
        <x:v>5000</x:v>
      </x:c>
      <x:c r="K76" s="84"/>
      <x:c r="L76" s="84"/>
      <x:c r="M76" s="85">
        <x:f t="shared" si="3"/>
        <x:v>500</x:v>
      </x:c>
      <x:c r="N76" s="85"/>
      <x:c r="O76" s="101"/>
    </x:row>
    <x:row r="77" spans="2:15" ht="18" customHeight="1">
      <x:c r="B77" s="21">
        <x:f t="shared" si="4"/>
        <x:v>59</x:v>
      </x:c>
      <x:c r="C77" s="75" t="s">
        <x:v>127</x:v>
      </x:c>
      <x:c r="D77" s="75"/>
      <x:c r="E77" s="75"/>
      <x:c r="F77" s="75" t="s">
        <x:v>14</x:v>
      </x:c>
      <x:c r="G77" s="75"/>
      <x:c r="H77" s="22">
        <x:v>1</x:v>
      </x:c>
      <x:c r="I77" s="23">
        <x:v>250000</x:v>
      </x:c>
      <x:c r="J77" s="84">
        <x:f>H77*I77</x:f>
        <x:v>250000</x:v>
      </x:c>
      <x:c r="K77" s="84"/>
      <x:c r="L77" s="84"/>
      <x:c r="M77" s="85">
        <x:f>J77*0.1</x:f>
        <x:v>25000</x:v>
      </x:c>
      <x:c r="N77" s="85"/>
      <x:c r="O77" s="101"/>
    </x:row>
    <x:row r="78" spans="2:15" ht="18" customHeight="1">
      <x:c r="B78" s="21">
        <x:f t="shared" si="4"/>
        <x:v>60</x:v>
      </x:c>
      <x:c r="C78" s="75" t="s">
        <x:v>84</x:v>
      </x:c>
      <x:c r="D78" s="75"/>
      <x:c r="E78" s="75"/>
      <x:c r="F78" s="75" t="s">
        <x:v>104</x:v>
      </x:c>
      <x:c r="G78" s="75"/>
      <x:c r="H78" s="22">
        <x:v>2</x:v>
      </x:c>
      <x:c r="I78" s="26">
        <x:v>75000</x:v>
      </x:c>
      <x:c r="J78" s="84">
        <x:f>H78*I78</x:f>
        <x:v>150000</x:v>
      </x:c>
      <x:c r="K78" s="84"/>
      <x:c r="L78" s="84"/>
      <x:c r="M78" s="85">
        <x:f>J78*0.1</x:f>
        <x:v>15000</x:v>
      </x:c>
      <x:c r="N78" s="85"/>
      <x:c r="O78" s="101"/>
    </x:row>
    <x:row r="79" spans="2:17" ht="18" customHeight="1">
      <x:c r="B79" s="21">
        <x:f t="shared" si="4"/>
        <x:v>61</x:v>
      </x:c>
      <x:c r="C79" s="75" t="s">
        <x:v>110</x:v>
      </x:c>
      <x:c r="D79" s="75"/>
      <x:c r="E79" s="75"/>
      <x:c r="F79" s="75"/>
      <x:c r="G79" s="75"/>
      <x:c r="H79" s="22">
        <x:v>200</x:v>
      </x:c>
      <x:c r="I79" s="26">
        <x:v>3400</x:v>
      </x:c>
      <x:c r="J79" s="84">
        <x:f>H79*I79</x:f>
        <x:v>680000</x:v>
      </x:c>
      <x:c r="K79" s="84"/>
      <x:c r="L79" s="84"/>
      <x:c r="M79" s="85">
        <x:f>J79*0.1</x:f>
        <x:v>68000</x:v>
      </x:c>
      <x:c r="N79" s="85"/>
      <x:c r="O79" s="101"/>
      <x:c r="Q79" s="3"/>
    </x:row>
    <x:row r="80" spans="2:15" ht="18" customHeight="1">
      <x:c r="B80" s="21">
        <x:f t="shared" si="4"/>
        <x:v>62</x:v>
      </x:c>
      <x:c r="C80" s="75" t="s">
        <x:v>88</x:v>
      </x:c>
      <x:c r="D80" s="75"/>
      <x:c r="E80" s="75"/>
      <x:c r="F80" s="75" t="s">
        <x:v>59</x:v>
      </x:c>
      <x:c r="G80" s="75"/>
      <x:c r="H80" s="22">
        <x:v>30</x:v>
      </x:c>
      <x:c r="I80" s="26">
        <x:v>6900</x:v>
      </x:c>
      <x:c r="J80" s="84">
        <x:f t="shared" ref="J80:J88" si="5">H80*I80</x:f>
        <x:v>207000</x:v>
      </x:c>
      <x:c r="K80" s="84"/>
      <x:c r="L80" s="84"/>
      <x:c r="M80" s="85">
        <x:f t="shared" ref="M80:M88" si="6">J80*0.1</x:f>
        <x:v>20700</x:v>
      </x:c>
      <x:c r="N80" s="85"/>
      <x:c r="O80" s="101"/>
    </x:row>
    <x:row r="81" spans="2:15" ht="18.75" customHeight="1">
      <x:c r="B81" s="21">
        <x:v>63</x:v>
      </x:c>
      <x:c r="C81" s="75" t="s">
        <x:v>88</x:v>
      </x:c>
      <x:c r="D81" s="75"/>
      <x:c r="E81" s="75"/>
      <x:c r="F81" s="75" t="s">
        <x:v>63</x:v>
      </x:c>
      <x:c r="G81" s="75"/>
      <x:c r="H81" s="22">
        <x:v>10</x:v>
      </x:c>
      <x:c r="I81" s="26">
        <x:v>13000</x:v>
      </x:c>
      <x:c r="J81" s="84">
        <x:f t="shared" si="5"/>
        <x:v>130000</x:v>
      </x:c>
      <x:c r="K81" s="84"/>
      <x:c r="L81" s="84"/>
      <x:c r="M81" s="85">
        <x:f t="shared" si="6"/>
        <x:v>13000</x:v>
      </x:c>
      <x:c r="N81" s="85"/>
      <x:c r="O81" s="101"/>
    </x:row>
    <x:row r="82" spans="2:15" ht="18.75" customHeight="1">
      <x:c r="B82" s="21">
        <x:f>B81+1</x:f>
        <x:v>64</x:v>
      </x:c>
      <x:c r="C82" s="75" t="s">
        <x:v>83</x:v>
      </x:c>
      <x:c r="D82" s="75"/>
      <x:c r="E82" s="75"/>
      <x:c r="F82" s="75" t="s">
        <x:v>30</x:v>
      </x:c>
      <x:c r="G82" s="75"/>
      <x:c r="H82" s="22">
        <x:v>6</x:v>
      </x:c>
      <x:c r="I82" s="26">
        <x:v>2000</x:v>
      </x:c>
      <x:c r="J82" s="84">
        <x:f t="shared" si="5"/>
        <x:v>12000</x:v>
      </x:c>
      <x:c r="K82" s="84"/>
      <x:c r="L82" s="84"/>
      <x:c r="M82" s="85">
        <x:f t="shared" si="6"/>
        <x:v>1200</x:v>
      </x:c>
      <x:c r="N82" s="85"/>
      <x:c r="O82" s="101"/>
    </x:row>
    <x:row r="83" spans="2:15" ht="18.75" customHeight="1">
      <x:c r="B83" s="21">
        <x:f t="shared" ref="B83:B94" si="7">B82+1</x:f>
        <x:v>65</x:v>
      </x:c>
      <x:c r="C83" s="75" t="s">
        <x:v>83</x:v>
      </x:c>
      <x:c r="D83" s="75"/>
      <x:c r="E83" s="75"/>
      <x:c r="F83" s="75" t="s">
        <x:v>29</x:v>
      </x:c>
      <x:c r="G83" s="75"/>
      <x:c r="H83" s="22">
        <x:v>6</x:v>
      </x:c>
      <x:c r="I83" s="26">
        <x:v>3000</x:v>
      </x:c>
      <x:c r="J83" s="84">
        <x:f t="shared" si="5"/>
        <x:v>18000</x:v>
      </x:c>
      <x:c r="K83" s="84"/>
      <x:c r="L83" s="84"/>
      <x:c r="M83" s="85">
        <x:f t="shared" si="6"/>
        <x:v>1800</x:v>
      </x:c>
      <x:c r="N83" s="85"/>
      <x:c r="O83" s="101"/>
    </x:row>
    <x:row r="84" spans="2:15" ht="18.75" customHeight="1">
      <x:c r="B84" s="21">
        <x:f t="shared" si="7"/>
        <x:v>66</x:v>
      </x:c>
      <x:c r="C84" s="75" t="s">
        <x:v>91</x:v>
      </x:c>
      <x:c r="D84" s="75"/>
      <x:c r="E84" s="75"/>
      <x:c r="F84" s="75"/>
      <x:c r="G84" s="75"/>
      <x:c r="H84" s="22">
        <x:v>40</x:v>
      </x:c>
      <x:c r="I84" s="23">
        <x:v>1000</x:v>
      </x:c>
      <x:c r="J84" s="84">
        <x:f t="shared" si="5"/>
        <x:v>40000</x:v>
      </x:c>
      <x:c r="K84" s="84"/>
      <x:c r="L84" s="84"/>
      <x:c r="M84" s="85">
        <x:f t="shared" si="6"/>
        <x:v>4000</x:v>
      </x:c>
      <x:c r="N84" s="85"/>
      <x:c r="O84" s="101"/>
    </x:row>
    <x:row r="85" spans="1:17" ht="18.75" customHeight="1">
      <x:c r="A85" s="20"/>
      <x:c r="B85" s="21">
        <x:f t="shared" si="7"/>
        <x:v>67</x:v>
      </x:c>
      <x:c r="C85" s="75" t="s">
        <x:v>1</x:v>
      </x:c>
      <x:c r="D85" s="75"/>
      <x:c r="E85" s="75"/>
      <x:c r="F85" s="75" t="s">
        <x:v>18</x:v>
      </x:c>
      <x:c r="G85" s="75"/>
      <x:c r="H85" s="22">
        <x:v>2</x:v>
      </x:c>
      <x:c r="I85" s="23">
        <x:v>6000</x:v>
      </x:c>
      <x:c r="J85" s="84">
        <x:f t="shared" si="5"/>
        <x:v>12000</x:v>
      </x:c>
      <x:c r="K85" s="84"/>
      <x:c r="L85" s="84"/>
      <x:c r="M85" s="85">
        <x:f t="shared" si="6"/>
        <x:v>1200</x:v>
      </x:c>
      <x:c r="N85" s="85"/>
      <x:c r="O85" s="101"/>
      <x:c r="Q85" s="8"/>
    </x:row>
    <x:row r="86" spans="2:15" ht="18.75" customHeight="1">
      <x:c r="B86" s="21">
        <x:f t="shared" si="7"/>
        <x:v>68</x:v>
      </x:c>
      <x:c r="C86" s="75" t="s">
        <x:v>97</x:v>
      </x:c>
      <x:c r="D86" s="75"/>
      <x:c r="E86" s="75"/>
      <x:c r="F86" s="75" t="s">
        <x:v>4</x:v>
      </x:c>
      <x:c r="G86" s="75"/>
      <x:c r="H86" s="22">
        <x:v>2</x:v>
      </x:c>
      <x:c r="I86" s="23">
        <x:v>3500</x:v>
      </x:c>
      <x:c r="J86" s="84">
        <x:f t="shared" si="5"/>
        <x:v>7000</x:v>
      </x:c>
      <x:c r="K86" s="84"/>
      <x:c r="L86" s="84"/>
      <x:c r="M86" s="85">
        <x:f t="shared" si="6"/>
        <x:v>700</x:v>
      </x:c>
      <x:c r="N86" s="85"/>
      <x:c r="O86" s="101"/>
    </x:row>
    <x:row r="87" spans="2:15" ht="18.75" customHeight="1">
      <x:c r="B87" s="21">
        <x:f t="shared" si="7"/>
        <x:v>69</x:v>
      </x:c>
      <x:c r="C87" s="75" t="s">
        <x:v>97</x:v>
      </x:c>
      <x:c r="D87" s="75"/>
      <x:c r="E87" s="75"/>
      <x:c r="F87" s="75" t="s">
        <x:v>90</x:v>
      </x:c>
      <x:c r="G87" s="75"/>
      <x:c r="H87" s="22">
        <x:v>2</x:v>
      </x:c>
      <x:c r="I87" s="23">
        <x:v>6500</x:v>
      </x:c>
      <x:c r="J87" s="84">
        <x:f t="shared" si="5"/>
        <x:v>13000</x:v>
      </x:c>
      <x:c r="K87" s="84"/>
      <x:c r="L87" s="84"/>
      <x:c r="M87" s="85">
        <x:f t="shared" si="6"/>
        <x:v>1300</x:v>
      </x:c>
      <x:c r="N87" s="85"/>
      <x:c r="O87" s="101"/>
    </x:row>
    <x:row r="88" spans="2:15" ht="18.75" customHeight="1">
      <x:c r="B88" s="21">
        <x:f t="shared" si="7"/>
        <x:v>70</x:v>
      </x:c>
      <x:c r="C88" s="75" t="s">
        <x:v>97</x:v>
      </x:c>
      <x:c r="D88" s="75"/>
      <x:c r="E88" s="75"/>
      <x:c r="F88" s="75" t="s">
        <x:v>93</x:v>
      </x:c>
      <x:c r="G88" s="75"/>
      <x:c r="H88" s="22">
        <x:v>2</x:v>
      </x:c>
      <x:c r="I88" s="23">
        <x:v>8000</x:v>
      </x:c>
      <x:c r="J88" s="84">
        <x:f t="shared" si="5"/>
        <x:v>16000</x:v>
      </x:c>
      <x:c r="K88" s="84"/>
      <x:c r="L88" s="84"/>
      <x:c r="M88" s="85">
        <x:f t="shared" si="6"/>
        <x:v>1600</x:v>
      </x:c>
      <x:c r="N88" s="85"/>
      <x:c r="O88" s="101"/>
    </x:row>
    <x:row r="89" spans="2:15" ht="18.75" customHeight="1">
      <x:c r="B89" s="21">
        <x:f t="shared" si="7"/>
        <x:v>71</x:v>
      </x:c>
      <x:c r="C89" s="75" t="s">
        <x:v>152</x:v>
      </x:c>
      <x:c r="D89" s="75"/>
      <x:c r="E89" s="75"/>
      <x:c r="F89" s="75"/>
      <x:c r="G89" s="75"/>
      <x:c r="H89" s="86"/>
      <x:c r="I89" s="86"/>
      <x:c r="J89" s="87"/>
      <x:c r="K89" s="87"/>
      <x:c r="L89" s="87"/>
      <x:c r="M89" s="88"/>
      <x:c r="N89" s="88"/>
      <x:c r="O89" s="97"/>
    </x:row>
    <x:row r="90" spans="2:15" ht="18.75" customHeight="1">
      <x:c r="B90" s="21">
        <x:f t="shared" si="7"/>
        <x:v>72</x:v>
      </x:c>
      <x:c r="C90" s="89" t="s">
        <x:v>69</x:v>
      </x:c>
      <x:c r="D90" s="89"/>
      <x:c r="E90" s="89"/>
      <x:c r="F90" s="75"/>
      <x:c r="G90" s="75"/>
      <x:c r="H90" s="86"/>
      <x:c r="I90" s="86"/>
      <x:c r="J90" s="87"/>
      <x:c r="K90" s="87"/>
      <x:c r="L90" s="87"/>
      <x:c r="M90" s="88"/>
      <x:c r="N90" s="88"/>
      <x:c r="O90" s="101"/>
    </x:row>
    <x:row r="91" spans="2:15" ht="18.75" customHeight="1">
      <x:c r="B91" s="21">
        <x:f t="shared" si="7"/>
        <x:v>73</x:v>
      </x:c>
      <x:c r="C91" s="89" t="s">
        <x:v>68</x:v>
      </x:c>
      <x:c r="D91" s="89"/>
      <x:c r="E91" s="89"/>
      <x:c r="F91" s="75"/>
      <x:c r="G91" s="75"/>
      <x:c r="H91" s="86"/>
      <x:c r="I91" s="86"/>
      <x:c r="J91" s="87"/>
      <x:c r="K91" s="87"/>
      <x:c r="L91" s="87"/>
      <x:c r="M91" s="88"/>
      <x:c r="N91" s="88"/>
      <x:c r="O91" s="101"/>
    </x:row>
    <x:row r="92" spans="2:15" ht="18.75" customHeight="1">
      <x:c r="B92" s="21">
        <x:f t="shared" si="7"/>
        <x:v>74</x:v>
      </x:c>
      <x:c r="C92" s="89" t="s">
        <x:v>38</x:v>
      </x:c>
      <x:c r="D92" s="89"/>
      <x:c r="E92" s="89"/>
      <x:c r="F92" s="75"/>
      <x:c r="G92" s="75"/>
      <x:c r="H92" s="22"/>
      <x:c r="I92" s="23"/>
      <x:c r="J92" s="84"/>
      <x:c r="K92" s="84"/>
      <x:c r="L92" s="84"/>
      <x:c r="M92" s="85"/>
      <x:c r="N92" s="85"/>
      <x:c r="O92" s="101"/>
    </x:row>
    <x:row r="93" spans="2:15" ht="18.75" customHeight="1">
      <x:c r="B93" s="21">
        <x:f t="shared" si="7"/>
        <x:v>75</x:v>
      </x:c>
      <x:c r="C93" s="89" t="s">
        <x:v>151</x:v>
      </x:c>
      <x:c r="D93" s="89"/>
      <x:c r="E93" s="89"/>
      <x:c r="F93" s="75"/>
      <x:c r="G93" s="75"/>
      <x:c r="H93" s="86"/>
      <x:c r="I93" s="86"/>
      <x:c r="J93" s="87"/>
      <x:c r="K93" s="87"/>
      <x:c r="L93" s="87"/>
      <x:c r="M93" s="88"/>
      <x:c r="N93" s="88"/>
      <x:c r="O93" s="101"/>
    </x:row>
    <x:row r="94" spans="2:15" ht="18.75" customHeight="1">
      <x:c r="B94" s="21">
        <x:f t="shared" si="7"/>
        <x:v>76</x:v>
      </x:c>
      <x:c r="C94" s="89" t="s">
        <x:v>150</x:v>
      </x:c>
      <x:c r="D94" s="89"/>
      <x:c r="E94" s="89"/>
      <x:c r="F94" s="75"/>
      <x:c r="G94" s="75"/>
      <x:c r="H94" s="86"/>
      <x:c r="I94" s="86"/>
      <x:c r="J94" s="87"/>
      <x:c r="K94" s="87"/>
      <x:c r="L94" s="87"/>
      <x:c r="M94" s="88"/>
      <x:c r="N94" s="88"/>
      <x:c r="O94" s="101"/>
    </x:row>
  </x:sheetData>
  <x:mergeCells count="339">
    <x:mergeCell ref="G3:L3"/>
    <x:mergeCell ref="B6:G6"/>
    <x:mergeCell ref="M6:O7"/>
    <x:mergeCell ref="B7:G8"/>
    <x:mergeCell ref="B9:C9"/>
    <x:mergeCell ref="I9:J9"/>
    <x:mergeCell ref="K9:O9"/>
    <x:mergeCell ref="B10:C10"/>
    <x:mergeCell ref="H10:H11"/>
    <x:mergeCell ref="I10:J10"/>
    <x:mergeCell ref="K10:M10"/>
    <x:mergeCell ref="B11:C11"/>
    <x:mergeCell ref="D11:F11"/>
    <x:mergeCell ref="I11:J11"/>
    <x:mergeCell ref="K11:O11"/>
    <x:mergeCell ref="B12:C12"/>
    <x:mergeCell ref="D12:F12"/>
    <x:mergeCell ref="I12:J12"/>
    <x:mergeCell ref="K12:M12"/>
    <x:mergeCell ref="N12:O12"/>
    <x:mergeCell ref="B13:C13"/>
    <x:mergeCell ref="D13:F13"/>
    <x:mergeCell ref="H13:O13"/>
    <x:mergeCell ref="B14:C14"/>
    <x:mergeCell ref="D14:F14"/>
    <x:mergeCell ref="I14:J14"/>
    <x:mergeCell ref="K14:L14"/>
    <x:mergeCell ref="M14:N14"/>
    <x:mergeCell ref="A15:O15"/>
    <x:mergeCell ref="A16:O16"/>
    <x:mergeCell ref="A17:O17"/>
    <x:mergeCell ref="C18:E18"/>
    <x:mergeCell ref="F18:G18"/>
    <x:mergeCell ref="J18:L18"/>
    <x:mergeCell ref="M18:N18"/>
    <x:mergeCell ref="C19:E19"/>
    <x:mergeCell ref="F19:G19"/>
    <x:mergeCell ref="J19:L19"/>
    <x:mergeCell ref="M19:N19"/>
    <x:mergeCell ref="C20:E20"/>
    <x:mergeCell ref="F20:G20"/>
    <x:mergeCell ref="J20:L20"/>
    <x:mergeCell ref="M20:N20"/>
    <x:mergeCell ref="C21:E21"/>
    <x:mergeCell ref="F21:G21"/>
    <x:mergeCell ref="J21:L21"/>
    <x:mergeCell ref="M21:N21"/>
    <x:mergeCell ref="C22:E22"/>
    <x:mergeCell ref="F22:G22"/>
    <x:mergeCell ref="J22:L22"/>
    <x:mergeCell ref="M22:N22"/>
    <x:mergeCell ref="C23:E23"/>
    <x:mergeCell ref="F23:G23"/>
    <x:mergeCell ref="J23:L23"/>
    <x:mergeCell ref="M23:N23"/>
    <x:mergeCell ref="C24:E24"/>
    <x:mergeCell ref="F24:G24"/>
    <x:mergeCell ref="J24:L24"/>
    <x:mergeCell ref="M24:N24"/>
    <x:mergeCell ref="C25:E25"/>
    <x:mergeCell ref="F25:G25"/>
    <x:mergeCell ref="J25:L25"/>
    <x:mergeCell ref="M25:N25"/>
    <x:mergeCell ref="C26:E26"/>
    <x:mergeCell ref="F26:G26"/>
    <x:mergeCell ref="J26:L26"/>
    <x:mergeCell ref="M26:N26"/>
    <x:mergeCell ref="C27:E27"/>
    <x:mergeCell ref="F27:G27"/>
    <x:mergeCell ref="J27:L27"/>
    <x:mergeCell ref="M27:N27"/>
    <x:mergeCell ref="C28:E28"/>
    <x:mergeCell ref="F28:G28"/>
    <x:mergeCell ref="J28:L28"/>
    <x:mergeCell ref="M28:N28"/>
    <x:mergeCell ref="C29:E29"/>
    <x:mergeCell ref="F29:G29"/>
    <x:mergeCell ref="J29:L29"/>
    <x:mergeCell ref="M29:N29"/>
    <x:mergeCell ref="C30:E30"/>
    <x:mergeCell ref="F30:G30"/>
    <x:mergeCell ref="J30:L30"/>
    <x:mergeCell ref="M30:N30"/>
    <x:mergeCell ref="C31:E31"/>
    <x:mergeCell ref="F31:G31"/>
    <x:mergeCell ref="J31:L31"/>
    <x:mergeCell ref="M31:N31"/>
    <x:mergeCell ref="C32:E32"/>
    <x:mergeCell ref="F32:G32"/>
    <x:mergeCell ref="J32:L32"/>
    <x:mergeCell ref="M32:N32"/>
    <x:mergeCell ref="C33:E33"/>
    <x:mergeCell ref="F33:G33"/>
    <x:mergeCell ref="J33:L33"/>
    <x:mergeCell ref="M33:N33"/>
    <x:mergeCell ref="C34:E34"/>
    <x:mergeCell ref="F34:G34"/>
    <x:mergeCell ref="J34:L34"/>
    <x:mergeCell ref="M34:N34"/>
    <x:mergeCell ref="C35:E35"/>
    <x:mergeCell ref="F35:G35"/>
    <x:mergeCell ref="J35:L35"/>
    <x:mergeCell ref="M35:N35"/>
    <x:mergeCell ref="C36:E36"/>
    <x:mergeCell ref="F36:G36"/>
    <x:mergeCell ref="J36:L36"/>
    <x:mergeCell ref="M36:N36"/>
    <x:mergeCell ref="C37:E37"/>
    <x:mergeCell ref="F37:G37"/>
    <x:mergeCell ref="J37:L37"/>
    <x:mergeCell ref="M37:N37"/>
    <x:mergeCell ref="C38:E38"/>
    <x:mergeCell ref="F38:G38"/>
    <x:mergeCell ref="J38:L38"/>
    <x:mergeCell ref="M38:N38"/>
    <x:mergeCell ref="C39:E39"/>
    <x:mergeCell ref="F39:G39"/>
    <x:mergeCell ref="J39:L39"/>
    <x:mergeCell ref="M39:N39"/>
    <x:mergeCell ref="C40:E40"/>
    <x:mergeCell ref="F40:G40"/>
    <x:mergeCell ref="J40:L40"/>
    <x:mergeCell ref="M40:N40"/>
    <x:mergeCell ref="C41:E41"/>
    <x:mergeCell ref="F41:G41"/>
    <x:mergeCell ref="J41:L41"/>
    <x:mergeCell ref="M41:N41"/>
    <x:mergeCell ref="C42:E42"/>
    <x:mergeCell ref="F42:G42"/>
    <x:mergeCell ref="J42:L42"/>
    <x:mergeCell ref="M42:N42"/>
    <x:mergeCell ref="C43:E43"/>
    <x:mergeCell ref="F43:G43"/>
    <x:mergeCell ref="J43:L43"/>
    <x:mergeCell ref="M43:N43"/>
    <x:mergeCell ref="C44:E44"/>
    <x:mergeCell ref="F44:G44"/>
    <x:mergeCell ref="J44:L44"/>
    <x:mergeCell ref="M44:N44"/>
    <x:mergeCell ref="C45:E45"/>
    <x:mergeCell ref="F45:G45"/>
    <x:mergeCell ref="J45:L45"/>
    <x:mergeCell ref="M45:N45"/>
    <x:mergeCell ref="C46:E46"/>
    <x:mergeCell ref="F46:G46"/>
    <x:mergeCell ref="J46:L46"/>
    <x:mergeCell ref="M46:N46"/>
    <x:mergeCell ref="C47:E47"/>
    <x:mergeCell ref="F47:G47"/>
    <x:mergeCell ref="J47:L47"/>
    <x:mergeCell ref="M47:N47"/>
    <x:mergeCell ref="C48:E48"/>
    <x:mergeCell ref="F48:G48"/>
    <x:mergeCell ref="J48:L48"/>
    <x:mergeCell ref="M48:N48"/>
    <x:mergeCell ref="C49:E49"/>
    <x:mergeCell ref="F49:G49"/>
    <x:mergeCell ref="J49:L49"/>
    <x:mergeCell ref="M49:N49"/>
    <x:mergeCell ref="C50:E50"/>
    <x:mergeCell ref="F50:G50"/>
    <x:mergeCell ref="J50:L50"/>
    <x:mergeCell ref="M50:N50"/>
    <x:mergeCell ref="C51:E51"/>
    <x:mergeCell ref="F51:G51"/>
    <x:mergeCell ref="J51:L51"/>
    <x:mergeCell ref="M51:N51"/>
    <x:mergeCell ref="C52:E52"/>
    <x:mergeCell ref="F52:G52"/>
    <x:mergeCell ref="J52:L52"/>
    <x:mergeCell ref="M52:N52"/>
    <x:mergeCell ref="C53:E53"/>
    <x:mergeCell ref="F53:G53"/>
    <x:mergeCell ref="J53:L53"/>
    <x:mergeCell ref="M53:N53"/>
    <x:mergeCell ref="C54:E54"/>
    <x:mergeCell ref="F54:G54"/>
    <x:mergeCell ref="J54:L54"/>
    <x:mergeCell ref="M54:N54"/>
    <x:mergeCell ref="C55:E55"/>
    <x:mergeCell ref="F55:G55"/>
    <x:mergeCell ref="J55:L55"/>
    <x:mergeCell ref="M55:N55"/>
    <x:mergeCell ref="C56:E56"/>
    <x:mergeCell ref="F56:G56"/>
    <x:mergeCell ref="J56:L56"/>
    <x:mergeCell ref="M56:N56"/>
    <x:mergeCell ref="C57:E57"/>
    <x:mergeCell ref="F57:G57"/>
    <x:mergeCell ref="J57:L57"/>
    <x:mergeCell ref="M57:N57"/>
    <x:mergeCell ref="C58:E58"/>
    <x:mergeCell ref="F58:G58"/>
    <x:mergeCell ref="J58:L58"/>
    <x:mergeCell ref="M58:N58"/>
    <x:mergeCell ref="C59:E59"/>
    <x:mergeCell ref="F59:G59"/>
    <x:mergeCell ref="J59:L59"/>
    <x:mergeCell ref="M59:N59"/>
    <x:mergeCell ref="C60:E60"/>
    <x:mergeCell ref="F60:G60"/>
    <x:mergeCell ref="J60:L60"/>
    <x:mergeCell ref="M60:N60"/>
    <x:mergeCell ref="C61:E61"/>
    <x:mergeCell ref="F61:G61"/>
    <x:mergeCell ref="J61:L61"/>
    <x:mergeCell ref="M61:N61"/>
    <x:mergeCell ref="C62:E62"/>
    <x:mergeCell ref="F62:G62"/>
    <x:mergeCell ref="J62:L62"/>
    <x:mergeCell ref="M62:N62"/>
    <x:mergeCell ref="C63:E63"/>
    <x:mergeCell ref="F63:G63"/>
    <x:mergeCell ref="J63:L63"/>
    <x:mergeCell ref="M63:N63"/>
    <x:mergeCell ref="C64:E64"/>
    <x:mergeCell ref="F64:G64"/>
    <x:mergeCell ref="J64:L64"/>
    <x:mergeCell ref="M64:N64"/>
    <x:mergeCell ref="C65:E65"/>
    <x:mergeCell ref="F65:G65"/>
    <x:mergeCell ref="J65:L65"/>
    <x:mergeCell ref="M65:N65"/>
    <x:mergeCell ref="C66:E66"/>
    <x:mergeCell ref="F66:G66"/>
    <x:mergeCell ref="J66:L66"/>
    <x:mergeCell ref="M66:N66"/>
    <x:mergeCell ref="C67:E67"/>
    <x:mergeCell ref="F67:G67"/>
    <x:mergeCell ref="J67:L67"/>
    <x:mergeCell ref="M67:N67"/>
    <x:mergeCell ref="C68:E68"/>
    <x:mergeCell ref="F68:G68"/>
    <x:mergeCell ref="J68:L68"/>
    <x:mergeCell ref="M68:N68"/>
    <x:mergeCell ref="C69:E69"/>
    <x:mergeCell ref="F69:G69"/>
    <x:mergeCell ref="J69:L69"/>
    <x:mergeCell ref="M69:N69"/>
    <x:mergeCell ref="C70:E70"/>
    <x:mergeCell ref="F70:G70"/>
    <x:mergeCell ref="J70:L70"/>
    <x:mergeCell ref="M70:N70"/>
    <x:mergeCell ref="C71:E71"/>
    <x:mergeCell ref="F71:G71"/>
    <x:mergeCell ref="J71:L71"/>
    <x:mergeCell ref="M71:N71"/>
    <x:mergeCell ref="C72:E72"/>
    <x:mergeCell ref="F72:G72"/>
    <x:mergeCell ref="J72:L72"/>
    <x:mergeCell ref="M72:N72"/>
    <x:mergeCell ref="C73:E73"/>
    <x:mergeCell ref="F73:G73"/>
    <x:mergeCell ref="J73:L73"/>
    <x:mergeCell ref="M73:N73"/>
    <x:mergeCell ref="C74:E74"/>
    <x:mergeCell ref="F74:G74"/>
    <x:mergeCell ref="J74:L74"/>
    <x:mergeCell ref="M74:N74"/>
    <x:mergeCell ref="C75:E75"/>
    <x:mergeCell ref="F75:G75"/>
    <x:mergeCell ref="J75:L75"/>
    <x:mergeCell ref="M75:N75"/>
    <x:mergeCell ref="C76:E76"/>
    <x:mergeCell ref="F76:G76"/>
    <x:mergeCell ref="J76:L76"/>
    <x:mergeCell ref="M76:N76"/>
    <x:mergeCell ref="C77:E77"/>
    <x:mergeCell ref="F77:G77"/>
    <x:mergeCell ref="J77:L77"/>
    <x:mergeCell ref="M77:N77"/>
    <x:mergeCell ref="C78:E78"/>
    <x:mergeCell ref="F78:G78"/>
    <x:mergeCell ref="J78:L78"/>
    <x:mergeCell ref="M78:N78"/>
    <x:mergeCell ref="C79:E79"/>
    <x:mergeCell ref="F79:G79"/>
    <x:mergeCell ref="J79:L79"/>
    <x:mergeCell ref="M79:N79"/>
    <x:mergeCell ref="C80:E80"/>
    <x:mergeCell ref="F80:G80"/>
    <x:mergeCell ref="J80:L80"/>
    <x:mergeCell ref="M80:N80"/>
    <x:mergeCell ref="C81:E81"/>
    <x:mergeCell ref="F81:G81"/>
    <x:mergeCell ref="J81:L81"/>
    <x:mergeCell ref="M81:N81"/>
    <x:mergeCell ref="C82:E82"/>
    <x:mergeCell ref="F82:G82"/>
    <x:mergeCell ref="J82:L82"/>
    <x:mergeCell ref="M82:N82"/>
    <x:mergeCell ref="C83:E83"/>
    <x:mergeCell ref="F83:G83"/>
    <x:mergeCell ref="J83:L83"/>
    <x:mergeCell ref="M83:N83"/>
    <x:mergeCell ref="C84:E84"/>
    <x:mergeCell ref="F84:G84"/>
    <x:mergeCell ref="J84:L84"/>
    <x:mergeCell ref="M84:N84"/>
    <x:mergeCell ref="C85:E85"/>
    <x:mergeCell ref="F85:G85"/>
    <x:mergeCell ref="J85:L85"/>
    <x:mergeCell ref="M85:N85"/>
    <x:mergeCell ref="C86:E86"/>
    <x:mergeCell ref="F86:G86"/>
    <x:mergeCell ref="J86:L86"/>
    <x:mergeCell ref="M86:N86"/>
    <x:mergeCell ref="C87:E87"/>
    <x:mergeCell ref="F87:G87"/>
    <x:mergeCell ref="J87:L87"/>
    <x:mergeCell ref="M87:N87"/>
    <x:mergeCell ref="C88:E88"/>
    <x:mergeCell ref="F88:G88"/>
    <x:mergeCell ref="J88:L88"/>
    <x:mergeCell ref="M88:N88"/>
    <x:mergeCell ref="C89:E89"/>
    <x:mergeCell ref="F89:G89"/>
    <x:mergeCell ref="J89:L89"/>
    <x:mergeCell ref="M89:N89"/>
    <x:mergeCell ref="C90:E90"/>
    <x:mergeCell ref="F90:G90"/>
    <x:mergeCell ref="J90:L90"/>
    <x:mergeCell ref="M90:N90"/>
    <x:mergeCell ref="C91:E91"/>
    <x:mergeCell ref="F91:G91"/>
    <x:mergeCell ref="J91:L91"/>
    <x:mergeCell ref="M91:N91"/>
    <x:mergeCell ref="C92:E92"/>
    <x:mergeCell ref="F92:G92"/>
    <x:mergeCell ref="J92:L92"/>
    <x:mergeCell ref="M92:N92"/>
    <x:mergeCell ref="C93:E93"/>
    <x:mergeCell ref="F93:G93"/>
    <x:mergeCell ref="J93:L93"/>
    <x:mergeCell ref="M93:N93"/>
    <x:mergeCell ref="C94:E94"/>
    <x:mergeCell ref="F94:G94"/>
    <x:mergeCell ref="J94:L94"/>
    <x:mergeCell ref="M94:N94"/>
  </x:mergeCells>
  <x:pageMargins left="0" right="0" top="0" bottom="0" header="0" footer="0"/>
  <x:pageSetup paperSize="9" scale="44" firstPageNumber="1" fitToWidth="1" fitToHeight="1" orientation="portrait" usePrinterDefaults="1" blackAndWhite="0" draft="0" useFirstPageNumber="0" horizontalDpi="600" verticalDpi="600" copies="1"/>
  <x:rowBreaks count="1" manualBreakCount="1">
    <x:brk id="94" min="0" max="1048575" man="1" pt="0"/>
  </x:rowBreaks>
  <x:colBreaks count="1" manualBreakCount="1">
    <x:brk id="15" min="0" max="16383" man="1" pt="0"/>
  </x:colBreaks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76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HanJin</dc:creator>
  <cp:lastModifiedBy>Administrator</cp:lastModifiedBy>
  <cp:revision>8</cp:revision>
  <cp:lastPrinted>2026-01-23T06:25:54.000</cp:lastPrinted>
  <dcterms:created xsi:type="dcterms:W3CDTF">2002-03-24T14:07:37.000</dcterms:created>
  <dcterms:modified xsi:type="dcterms:W3CDTF">2026-03-02T02:25:00.383</dcterms:modified>
  <cp:version>1100.0100.01</cp:version>
</cp:coreProperties>
</file>